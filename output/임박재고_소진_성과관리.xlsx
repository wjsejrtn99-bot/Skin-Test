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시보드" sheetId="1" state="visible" r:id="rId1"/>
    <sheet xmlns:r="http://schemas.openxmlformats.org/officeDocument/2006/relationships" name="소진목표" sheetId="2" state="visible" r:id="rId2"/>
    <sheet xmlns:r="http://schemas.openxmlformats.org/officeDocument/2006/relationships" name="실행관리" sheetId="3" state="visible" r:id="rId3"/>
    <sheet xmlns:r="http://schemas.openxmlformats.org/officeDocument/2006/relationships" name="기준정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0.0"/>
    <numFmt numFmtId="166" formatCode="&quot;D-&quot;0;&quot;D+&quot;0;&quot;D-day&quot;"/>
    <numFmt numFmtId="167" formatCode="mm-dd"/>
    <numFmt numFmtId="168" formatCode="0.0%"/>
    <numFmt numFmtId="169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1F3864"/>
      <sz val="16"/>
    </font>
    <font>
      <name val="맑은 고딕"/>
      <color rgb="007F7F7F"/>
      <sz val="9"/>
    </font>
    <font>
      <name val="맑은 고딕"/>
      <b val="1"/>
      <color rgb="00000000"/>
      <sz val="10"/>
    </font>
    <font>
      <name val="맑은 고딕"/>
      <color rgb="000000FF"/>
      <sz val="10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b val="1"/>
      <color rgb="001F3864"/>
      <sz val="10"/>
    </font>
    <font>
      <name val="맑은 고딕"/>
      <b val="1"/>
      <color rgb="001F3864"/>
      <sz val="18"/>
    </font>
    <font>
      <name val="맑은 고딕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FFF9E5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0" fontId="2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8" fillId="0" borderId="1" applyAlignment="1" pivotButton="0" quotePrefix="0" xfId="0">
      <alignment horizontal="center" vertical="center" wrapText="1"/>
    </xf>
    <xf numFmtId="168" fontId="8" fillId="0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169" fontId="6" fillId="0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center" vertical="center" wrapText="1"/>
    </xf>
    <xf numFmtId="9" fontId="3" fillId="4" borderId="1" applyAlignment="1" pivotButton="0" quotePrefix="0" xfId="0">
      <alignment horizontal="center" vertical="center" wrapText="1"/>
    </xf>
    <xf numFmtId="169" fontId="3" fillId="4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3" fontId="4" fillId="2" borderId="1" applyAlignment="1" pivotButton="0" quotePrefix="0" xfId="0">
      <alignment horizontal="center" vertical="center" wrapText="1"/>
    </xf>
    <xf numFmtId="165" fontId="4" fillId="2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167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ont>
        <name val="맑은 고딕"/>
        <b val="1"/>
        <color rgb="00C00000"/>
      </font>
    </dxf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2" customWidth="1" min="8" max="8"/>
    <col width="12" customWidth="1" min="9" max="9"/>
    <col width="9" customWidth="1" min="10" max="10"/>
    <col width="11" customWidth="1" min="11" max="11"/>
    <col width="9" customWidth="1" min="12" max="12"/>
    <col width="11" customWidth="1" min="13" max="13"/>
    <col width="10" customWidth="1" min="14" max="14"/>
    <col width="10" customWidth="1" min="15" max="15"/>
  </cols>
  <sheetData>
    <row r="1">
      <c r="B1" s="1" t="inlineStr">
        <is>
          <t>임박재고 소진 성과 대시보드</t>
        </is>
      </c>
      <c r="L1" s="2" t="inlineStr">
        <is>
          <t>오늘</t>
        </is>
      </c>
      <c r="M1" s="3">
        <f>TODAY()</f>
        <v/>
      </c>
    </row>
    <row r="2">
      <c r="B2" s="4" t="inlineStr">
        <is>
          <t>자동 계산 시트 (입력 없음). 상태: 경과일 대비 진도로 판정.</t>
        </is>
      </c>
    </row>
    <row r="4">
      <c r="B4" s="5" t="inlineStr">
        <is>
          <t>총 소진 목표</t>
        </is>
      </c>
      <c r="C4" s="6" t="n"/>
      <c r="E4" s="5" t="inlineStr">
        <is>
          <t>누적 실적</t>
        </is>
      </c>
      <c r="F4" s="6" t="n"/>
      <c r="H4" s="5" t="inlineStr">
        <is>
          <t>달성률</t>
        </is>
      </c>
      <c r="I4" s="6" t="n"/>
      <c r="K4" s="5" t="inlineStr">
        <is>
          <t>누적 매출(원)</t>
        </is>
      </c>
      <c r="L4" s="6" t="n"/>
      <c r="N4" s="5" t="inlineStr">
        <is>
          <t>최초 기한까지</t>
        </is>
      </c>
      <c r="O4" s="6" t="n"/>
    </row>
    <row r="5" ht="38" customHeight="1">
      <c r="B5" s="7">
        <f>SUM(소진목표!$J$5:$J$20)</f>
        <v/>
      </c>
      <c r="C5" s="6" t="n"/>
      <c r="E5" s="7">
        <f>SUM(실행관리!$J$5:$J$64)</f>
        <v/>
      </c>
      <c r="F5" s="6" t="n"/>
      <c r="H5" s="8">
        <f>IF(B5=0,0,E5/B5)</f>
        <v/>
      </c>
      <c r="I5" s="6" t="n"/>
      <c r="K5" s="7">
        <f>SUM(실행관리!$L$5:$L$64)</f>
        <v/>
      </c>
      <c r="L5" s="6" t="n"/>
      <c r="N5" s="9">
        <f>MIN(소진목표!$H$5:$H$20)-TODAY()</f>
        <v/>
      </c>
      <c r="O5" s="6" t="n"/>
    </row>
    <row r="7">
      <c r="B7" s="10" t="inlineStr">
        <is>
          <t>■ 모델별 소진 현황</t>
        </is>
      </c>
    </row>
    <row r="8" ht="32" customHeight="1">
      <c r="B8" s="5" t="inlineStr">
        <is>
          <t>모델명</t>
        </is>
      </c>
      <c r="C8" s="5" t="inlineStr">
        <is>
          <t>목표</t>
        </is>
      </c>
      <c r="D8" s="5" t="inlineStr">
        <is>
          <t>계획 배분</t>
        </is>
      </c>
      <c r="E8" s="5" t="inlineStr">
        <is>
          <t>미배분</t>
        </is>
      </c>
      <c r="F8" s="5" t="inlineStr">
        <is>
          <t>실적</t>
        </is>
      </c>
      <c r="G8" s="5" t="inlineStr">
        <is>
          <t>달성률</t>
        </is>
      </c>
      <c r="H8" s="5" t="inlineStr">
        <is>
          <t>잔여</t>
        </is>
      </c>
      <c r="I8" s="5" t="inlineStr">
        <is>
          <t>최초 기한</t>
        </is>
      </c>
      <c r="J8" s="5" t="inlineStr">
        <is>
          <t>D-day</t>
        </is>
      </c>
      <c r="K8" s="5" t="inlineStr">
        <is>
          <t>일 필요 소진</t>
        </is>
      </c>
      <c r="L8" s="5" t="inlineStr">
        <is>
          <t>상태</t>
        </is>
      </c>
    </row>
    <row r="9">
      <c r="B9" s="11" t="inlineStr">
        <is>
          <t>CBTE-1</t>
        </is>
      </c>
      <c r="C9" s="12">
        <f>SUMIF(소진목표!$D$5:$D$20,B9,소진목표!$J$5:$J$20)</f>
        <v/>
      </c>
      <c r="D9" s="12">
        <f>SUMIF(실행관리!$E$5:$E$64,B9,실행관리!$I$5:$I$64)</f>
        <v/>
      </c>
      <c r="E9" s="12">
        <f>MAX(0,C9-D9)</f>
        <v/>
      </c>
      <c r="F9" s="12">
        <f>SUMIF(실행관리!$E$5:$E$64,B9,실행관리!$J$5:$J$64)</f>
        <v/>
      </c>
      <c r="G9" s="13">
        <f>IF(C9=0,"-",F9/C9)</f>
        <v/>
      </c>
      <c r="H9" s="12">
        <f>MAX(0,C9-F9)</f>
        <v/>
      </c>
      <c r="I9" s="14">
        <f>IFERROR(_xlfn.MINIFS(소진목표!$H$5:$H$20,소진목표!$D$5:$D$20,B9,소진목표!$J$5:$J$20,"&gt;0"),"-")</f>
        <v/>
      </c>
      <c r="J9" s="15">
        <f>IF(I9="-","-",I9-TODAY())</f>
        <v/>
      </c>
      <c r="K9" s="16">
        <f>IF(OR(H9=0,J9="-"),0,IF(J9&lt;=0,H9,H9/J9))</f>
        <v/>
      </c>
      <c r="L9" s="11">
        <f>IF(C9=0,"목표없음",IF(H9=0,"달성",IF(J9&lt;0,"기한초과",IF(F9/C9&gt;=0.9*MIN(1,(TODAY()-기준정보!$C$4)/(I9-기준정보!$C$4)),"정상","지연"))))</f>
        <v/>
      </c>
    </row>
    <row r="10">
      <c r="B10" s="11" t="inlineStr">
        <is>
          <t>CBTE-7</t>
        </is>
      </c>
      <c r="C10" s="12">
        <f>SUMIF(소진목표!$D$5:$D$20,B10,소진목표!$J$5:$J$20)</f>
        <v/>
      </c>
      <c r="D10" s="12">
        <f>SUMIF(실행관리!$E$5:$E$64,B10,실행관리!$I$5:$I$64)</f>
        <v/>
      </c>
      <c r="E10" s="12">
        <f>MAX(0,C10-D10)</f>
        <v/>
      </c>
      <c r="F10" s="12">
        <f>SUMIF(실행관리!$E$5:$E$64,B10,실행관리!$J$5:$J$64)</f>
        <v/>
      </c>
      <c r="G10" s="13">
        <f>IF(C10=0,"-",F10/C10)</f>
        <v/>
      </c>
      <c r="H10" s="12">
        <f>MAX(0,C10-F10)</f>
        <v/>
      </c>
      <c r="I10" s="14">
        <f>IFERROR(_xlfn.MINIFS(소진목표!$H$5:$H$20,소진목표!$D$5:$D$20,B10,소진목표!$J$5:$J$20,"&gt;0"),"-")</f>
        <v/>
      </c>
      <c r="J10" s="15">
        <f>IF(I10="-","-",I10-TODAY())</f>
        <v/>
      </c>
      <c r="K10" s="16">
        <f>IF(OR(H10=0,J10="-"),0,IF(J10&lt;=0,H10,H10/J10))</f>
        <v/>
      </c>
      <c r="L10" s="11">
        <f>IF(C10=0,"목표없음",IF(H10=0,"달성",IF(J10&lt;0,"기한초과",IF(F10/C10&gt;=0.9*MIN(1,(TODAY()-기준정보!$C$4)/(I10-기준정보!$C$4)),"정상","지연"))))</f>
        <v/>
      </c>
    </row>
    <row r="11">
      <c r="B11" s="11" t="inlineStr">
        <is>
          <t>CBTE-20</t>
        </is>
      </c>
      <c r="C11" s="12">
        <f>SUMIF(소진목표!$D$5:$D$20,B11,소진목표!$J$5:$J$20)</f>
        <v/>
      </c>
      <c r="D11" s="12">
        <f>SUMIF(실행관리!$E$5:$E$64,B11,실행관리!$I$5:$I$64)</f>
        <v/>
      </c>
      <c r="E11" s="12">
        <f>MAX(0,C11-D11)</f>
        <v/>
      </c>
      <c r="F11" s="12">
        <f>SUMIF(실행관리!$E$5:$E$64,B11,실행관리!$J$5:$J$64)</f>
        <v/>
      </c>
      <c r="G11" s="13">
        <f>IF(C11=0,"-",F11/C11)</f>
        <v/>
      </c>
      <c r="H11" s="12">
        <f>MAX(0,C11-F11)</f>
        <v/>
      </c>
      <c r="I11" s="14">
        <f>IFERROR(_xlfn.MINIFS(소진목표!$H$5:$H$20,소진목표!$D$5:$D$20,B11,소진목표!$J$5:$J$20,"&gt;0"),"-")</f>
        <v/>
      </c>
      <c r="J11" s="15">
        <f>IF(I11="-","-",I11-TODAY())</f>
        <v/>
      </c>
      <c r="K11" s="16">
        <f>IF(OR(H11=0,J11="-"),0,IF(J11&lt;=0,H11,H11/J11))</f>
        <v/>
      </c>
      <c r="L11" s="11">
        <f>IF(C11=0,"목표없음",IF(H11=0,"달성",IF(J11&lt;0,"기한초과",IF(F11/C11&gt;=0.9*MIN(1,(TODAY()-기준정보!$C$4)/(I11-기준정보!$C$4)),"정상","지연"))))</f>
        <v/>
      </c>
    </row>
    <row r="12">
      <c r="B12" s="11" t="inlineStr">
        <is>
          <t>TBTE-7</t>
        </is>
      </c>
      <c r="C12" s="12">
        <f>SUMIF(소진목표!$D$5:$D$20,B12,소진목표!$J$5:$J$20)</f>
        <v/>
      </c>
      <c r="D12" s="12">
        <f>SUMIF(실행관리!$E$5:$E$64,B12,실행관리!$I$5:$I$64)</f>
        <v/>
      </c>
      <c r="E12" s="12">
        <f>MAX(0,C12-D12)</f>
        <v/>
      </c>
      <c r="F12" s="12">
        <f>SUMIF(실행관리!$E$5:$E$64,B12,실행관리!$J$5:$J$64)</f>
        <v/>
      </c>
      <c r="G12" s="13">
        <f>IF(C12=0,"-",F12/C12)</f>
        <v/>
      </c>
      <c r="H12" s="12">
        <f>MAX(0,C12-F12)</f>
        <v/>
      </c>
      <c r="I12" s="14">
        <f>IFERROR(_xlfn.MINIFS(소진목표!$H$5:$H$20,소진목표!$D$5:$D$20,B12,소진목표!$J$5:$J$20,"&gt;0"),"-")</f>
        <v/>
      </c>
      <c r="J12" s="15">
        <f>IF(I12="-","-",I12-TODAY())</f>
        <v/>
      </c>
      <c r="K12" s="16">
        <f>IF(OR(H12=0,J12="-"),0,IF(J12&lt;=0,H12,H12/J12))</f>
        <v/>
      </c>
      <c r="L12" s="11">
        <f>IF(C12=0,"목표없음",IF(H12=0,"달성",IF(J12&lt;0,"기한초과",IF(F12/C12&gt;=0.9*MIN(1,(TODAY()-기준정보!$C$4)/(I12-기준정보!$C$4)),"정상","지연"))))</f>
        <v/>
      </c>
    </row>
    <row r="13">
      <c r="B13" s="11" t="inlineStr">
        <is>
          <t>TBTE-20</t>
        </is>
      </c>
      <c r="C13" s="12">
        <f>SUMIF(소진목표!$D$5:$D$20,B13,소진목표!$J$5:$J$20)</f>
        <v/>
      </c>
      <c r="D13" s="12">
        <f>SUMIF(실행관리!$E$5:$E$64,B13,실행관리!$I$5:$I$64)</f>
        <v/>
      </c>
      <c r="E13" s="12">
        <f>MAX(0,C13-D13)</f>
        <v/>
      </c>
      <c r="F13" s="12">
        <f>SUMIF(실행관리!$E$5:$E$64,B13,실행관리!$J$5:$J$64)</f>
        <v/>
      </c>
      <c r="G13" s="13">
        <f>IF(C13=0,"-",F13/C13)</f>
        <v/>
      </c>
      <c r="H13" s="12">
        <f>MAX(0,C13-F13)</f>
        <v/>
      </c>
      <c r="I13" s="14">
        <f>IFERROR(_xlfn.MINIFS(소진목표!$H$5:$H$20,소진목표!$D$5:$D$20,B13,소진목표!$J$5:$J$20,"&gt;0"),"-")</f>
        <v/>
      </c>
      <c r="J13" s="15">
        <f>IF(I13="-","-",I13-TODAY())</f>
        <v/>
      </c>
      <c r="K13" s="16">
        <f>IF(OR(H13=0,J13="-"),0,IF(J13&lt;=0,H13,H13/J13))</f>
        <v/>
      </c>
      <c r="L13" s="11">
        <f>IF(C13=0,"목표없음",IF(H13=0,"달성",IF(J13&lt;0,"기한초과",IF(F13/C13&gt;=0.9*MIN(1,(TODAY()-기준정보!$C$4)/(I13-기준정보!$C$4)),"정상","지연"))))</f>
        <v/>
      </c>
    </row>
    <row r="14">
      <c r="B14" s="11" t="inlineStr">
        <is>
          <t>DBTE-7</t>
        </is>
      </c>
      <c r="C14" s="12">
        <f>SUMIF(소진목표!$D$5:$D$20,B14,소진목표!$J$5:$J$20)</f>
        <v/>
      </c>
      <c r="D14" s="12">
        <f>SUMIF(실행관리!$E$5:$E$64,B14,실행관리!$I$5:$I$64)</f>
        <v/>
      </c>
      <c r="E14" s="12">
        <f>MAX(0,C14-D14)</f>
        <v/>
      </c>
      <c r="F14" s="12">
        <f>SUMIF(실행관리!$E$5:$E$64,B14,실행관리!$J$5:$J$64)</f>
        <v/>
      </c>
      <c r="G14" s="13">
        <f>IF(C14=0,"-",F14/C14)</f>
        <v/>
      </c>
      <c r="H14" s="12">
        <f>MAX(0,C14-F14)</f>
        <v/>
      </c>
      <c r="I14" s="14">
        <f>IFERROR(_xlfn.MINIFS(소진목표!$H$5:$H$20,소진목표!$D$5:$D$20,B14,소진목표!$J$5:$J$20,"&gt;0"),"-")</f>
        <v/>
      </c>
      <c r="J14" s="15">
        <f>IF(I14="-","-",I14-TODAY())</f>
        <v/>
      </c>
      <c r="K14" s="16">
        <f>IF(OR(H14=0,J14="-"),0,IF(J14&lt;=0,H14,H14/J14))</f>
        <v/>
      </c>
      <c r="L14" s="11">
        <f>IF(C14=0,"목표없음",IF(H14=0,"달성",IF(J14&lt;0,"기한초과",IF(F14/C14&gt;=0.9*MIN(1,(TODAY()-기준정보!$C$4)/(I14-기준정보!$C$4)),"정상","지연"))))</f>
        <v/>
      </c>
    </row>
    <row r="15">
      <c r="B15" s="11" t="inlineStr">
        <is>
          <t>DBTE-19</t>
        </is>
      </c>
      <c r="C15" s="12">
        <f>SUMIF(소진목표!$D$5:$D$20,B15,소진목표!$J$5:$J$20)</f>
        <v/>
      </c>
      <c r="D15" s="12">
        <f>SUMIF(실행관리!$E$5:$E$64,B15,실행관리!$I$5:$I$64)</f>
        <v/>
      </c>
      <c r="E15" s="12">
        <f>MAX(0,C15-D15)</f>
        <v/>
      </c>
      <c r="F15" s="12">
        <f>SUMIF(실행관리!$E$5:$E$64,B15,실행관리!$J$5:$J$64)</f>
        <v/>
      </c>
      <c r="G15" s="13">
        <f>IF(C15=0,"-",F15/C15)</f>
        <v/>
      </c>
      <c r="H15" s="12">
        <f>MAX(0,C15-F15)</f>
        <v/>
      </c>
      <c r="I15" s="14">
        <f>IFERROR(_xlfn.MINIFS(소진목표!$H$5:$H$20,소진목표!$D$5:$D$20,B15,소진목표!$J$5:$J$20,"&gt;0"),"-")</f>
        <v/>
      </c>
      <c r="J15" s="15">
        <f>IF(I15="-","-",I15-TODAY())</f>
        <v/>
      </c>
      <c r="K15" s="16">
        <f>IF(OR(H15=0,J15="-"),0,IF(J15&lt;=0,H15,H15/J15))</f>
        <v/>
      </c>
      <c r="L15" s="11">
        <f>IF(C15=0,"목표없음",IF(H15=0,"달성",IF(J15&lt;0,"기한초과",IF(F15/C15&gt;=0.9*MIN(1,(TODAY()-기준정보!$C$4)/(I15-기준정보!$C$4)),"정상","지연"))))</f>
        <v/>
      </c>
    </row>
    <row r="16">
      <c r="B16" s="17" t="inlineStr">
        <is>
          <t>합계</t>
        </is>
      </c>
      <c r="C16" s="17">
        <f>SUM(C9:C15)</f>
        <v/>
      </c>
      <c r="D16" s="17">
        <f>SUM(D9:D15)</f>
        <v/>
      </c>
      <c r="E16" s="17">
        <f>SUM(E9:E15)</f>
        <v/>
      </c>
      <c r="F16" s="17">
        <f>SUM(F9:F15)</f>
        <v/>
      </c>
      <c r="G16" s="18">
        <f>IF(C16=0,"-",F16/C16)</f>
        <v/>
      </c>
      <c r="H16" s="17">
        <f>SUM(H9:H15)</f>
        <v/>
      </c>
      <c r="I16" s="17" t="n"/>
      <c r="J16" s="17" t="n"/>
      <c r="K16" s="19">
        <f>SUM(K9:K15)</f>
        <v/>
      </c>
      <c r="L16" s="17" t="n"/>
    </row>
    <row r="18">
      <c r="B18" s="10" t="inlineStr">
        <is>
          <t>■ 소진 방법별 성과</t>
        </is>
      </c>
    </row>
    <row r="19" ht="32" customHeight="1">
      <c r="B19" s="5" t="inlineStr">
        <is>
          <t>소진 방법</t>
        </is>
      </c>
      <c r="C19" s="20" t="n"/>
      <c r="D19" s="5" t="inlineStr">
        <is>
          <t>건수</t>
        </is>
      </c>
      <c r="E19" s="5" t="inlineStr">
        <is>
          <t>계획</t>
        </is>
      </c>
      <c r="F19" s="5" t="inlineStr">
        <is>
          <t>실적</t>
        </is>
      </c>
      <c r="G19" s="5" t="inlineStr">
        <is>
          <t>달성률</t>
        </is>
      </c>
      <c r="H19" s="5" t="inlineStr">
        <is>
          <t>매출(원)</t>
        </is>
      </c>
      <c r="I19" s="5" t="inlineStr">
        <is>
          <t>실적 비중</t>
        </is>
      </c>
    </row>
    <row r="20">
      <c r="B20" s="21">
        <f>기준정보!B8</f>
        <v/>
      </c>
      <c r="C20" s="22" t="n"/>
      <c r="D20" s="23">
        <f>COUNTIF(실행관리!$C$5:$C$64,B20)</f>
        <v/>
      </c>
      <c r="E20" s="12">
        <f>SUMIF(실행관리!$C$5:$C$64,B20,실행관리!$I$5:$I$64)</f>
        <v/>
      </c>
      <c r="F20" s="12">
        <f>SUMIF(실행관리!$C$5:$C$64,B20,실행관리!$J$5:$J$64)</f>
        <v/>
      </c>
      <c r="G20" s="13">
        <f>IF(E20=0,"-",F20/E20)</f>
        <v/>
      </c>
      <c r="H20" s="12">
        <f>SUMIF(실행관리!$C$5:$C$64,B20,실행관리!$L$5:$L$64)</f>
        <v/>
      </c>
      <c r="I20" s="13">
        <f>IF($E$5=0,"-",F20/$E$5)</f>
        <v/>
      </c>
    </row>
    <row r="21">
      <c r="B21" s="21">
        <f>기준정보!B9</f>
        <v/>
      </c>
      <c r="C21" s="22" t="n"/>
      <c r="D21" s="23">
        <f>COUNTIF(실행관리!$C$5:$C$64,B21)</f>
        <v/>
      </c>
      <c r="E21" s="12">
        <f>SUMIF(실행관리!$C$5:$C$64,B21,실행관리!$I$5:$I$64)</f>
        <v/>
      </c>
      <c r="F21" s="12">
        <f>SUMIF(실행관리!$C$5:$C$64,B21,실행관리!$J$5:$J$64)</f>
        <v/>
      </c>
      <c r="G21" s="13">
        <f>IF(E21=0,"-",F21/E21)</f>
        <v/>
      </c>
      <c r="H21" s="12">
        <f>SUMIF(실행관리!$C$5:$C$64,B21,실행관리!$L$5:$L$64)</f>
        <v/>
      </c>
      <c r="I21" s="13">
        <f>IF($E$5=0,"-",F21/$E$5)</f>
        <v/>
      </c>
    </row>
    <row r="22">
      <c r="B22" s="21">
        <f>기준정보!B10</f>
        <v/>
      </c>
      <c r="C22" s="22" t="n"/>
      <c r="D22" s="23">
        <f>COUNTIF(실행관리!$C$5:$C$64,B22)</f>
        <v/>
      </c>
      <c r="E22" s="12">
        <f>SUMIF(실행관리!$C$5:$C$64,B22,실행관리!$I$5:$I$64)</f>
        <v/>
      </c>
      <c r="F22" s="12">
        <f>SUMIF(실행관리!$C$5:$C$64,B22,실행관리!$J$5:$J$64)</f>
        <v/>
      </c>
      <c r="G22" s="13">
        <f>IF(E22=0,"-",F22/E22)</f>
        <v/>
      </c>
      <c r="H22" s="12">
        <f>SUMIF(실행관리!$C$5:$C$64,B22,실행관리!$L$5:$L$64)</f>
        <v/>
      </c>
      <c r="I22" s="13">
        <f>IF($E$5=0,"-",F22/$E$5)</f>
        <v/>
      </c>
    </row>
    <row r="23">
      <c r="B23" s="21">
        <f>기준정보!B11</f>
        <v/>
      </c>
      <c r="C23" s="22" t="n"/>
      <c r="D23" s="23">
        <f>COUNTIF(실행관리!$C$5:$C$64,B23)</f>
        <v/>
      </c>
      <c r="E23" s="12">
        <f>SUMIF(실행관리!$C$5:$C$64,B23,실행관리!$I$5:$I$64)</f>
        <v/>
      </c>
      <c r="F23" s="12">
        <f>SUMIF(실행관리!$C$5:$C$64,B23,실행관리!$J$5:$J$64)</f>
        <v/>
      </c>
      <c r="G23" s="13">
        <f>IF(E23=0,"-",F23/E23)</f>
        <v/>
      </c>
      <c r="H23" s="12">
        <f>SUMIF(실행관리!$C$5:$C$64,B23,실행관리!$L$5:$L$64)</f>
        <v/>
      </c>
      <c r="I23" s="13">
        <f>IF($E$5=0,"-",F23/$E$5)</f>
        <v/>
      </c>
    </row>
    <row r="24">
      <c r="B24" s="21">
        <f>기준정보!B12</f>
        <v/>
      </c>
      <c r="C24" s="22" t="n"/>
      <c r="D24" s="23">
        <f>COUNTIF(실행관리!$C$5:$C$64,B24)</f>
        <v/>
      </c>
      <c r="E24" s="12">
        <f>SUMIF(실행관리!$C$5:$C$64,B24,실행관리!$I$5:$I$64)</f>
        <v/>
      </c>
      <c r="F24" s="12">
        <f>SUMIF(실행관리!$C$5:$C$64,B24,실행관리!$J$5:$J$64)</f>
        <v/>
      </c>
      <c r="G24" s="13">
        <f>IF(E24=0,"-",F24/E24)</f>
        <v/>
      </c>
      <c r="H24" s="12">
        <f>SUMIF(실행관리!$C$5:$C$64,B24,실행관리!$L$5:$L$64)</f>
        <v/>
      </c>
      <c r="I24" s="13">
        <f>IF($E$5=0,"-",F24/$E$5)</f>
        <v/>
      </c>
    </row>
    <row r="25">
      <c r="B25" s="21">
        <f>기준정보!B13</f>
        <v/>
      </c>
      <c r="C25" s="22" t="n"/>
      <c r="D25" s="23">
        <f>COUNTIF(실행관리!$C$5:$C$64,B25)</f>
        <v/>
      </c>
      <c r="E25" s="12">
        <f>SUMIF(실행관리!$C$5:$C$64,B25,실행관리!$I$5:$I$64)</f>
        <v/>
      </c>
      <c r="F25" s="12">
        <f>SUMIF(실행관리!$C$5:$C$64,B25,실행관리!$J$5:$J$64)</f>
        <v/>
      </c>
      <c r="G25" s="13">
        <f>IF(E25=0,"-",F25/E25)</f>
        <v/>
      </c>
      <c r="H25" s="12">
        <f>SUMIF(실행관리!$C$5:$C$64,B25,실행관리!$L$5:$L$64)</f>
        <v/>
      </c>
      <c r="I25" s="13">
        <f>IF($E$5=0,"-",F25/$E$5)</f>
        <v/>
      </c>
    </row>
    <row r="26">
      <c r="B26" s="21">
        <f>기준정보!B14</f>
        <v/>
      </c>
      <c r="C26" s="22" t="n"/>
      <c r="D26" s="23">
        <f>COUNTIF(실행관리!$C$5:$C$64,B26)</f>
        <v/>
      </c>
      <c r="E26" s="12">
        <f>SUMIF(실행관리!$C$5:$C$64,B26,실행관리!$I$5:$I$64)</f>
        <v/>
      </c>
      <c r="F26" s="12">
        <f>SUMIF(실행관리!$C$5:$C$64,B26,실행관리!$J$5:$J$64)</f>
        <v/>
      </c>
      <c r="G26" s="13">
        <f>IF(E26=0,"-",F26/E26)</f>
        <v/>
      </c>
      <c r="H26" s="12">
        <f>SUMIF(실행관리!$C$5:$C$64,B26,실행관리!$L$5:$L$64)</f>
        <v/>
      </c>
      <c r="I26" s="13">
        <f>IF($E$5=0,"-",F26/$E$5)</f>
        <v/>
      </c>
    </row>
    <row r="27">
      <c r="B27" s="21">
        <f>기준정보!B15</f>
        <v/>
      </c>
      <c r="C27" s="22" t="n"/>
      <c r="D27" s="23">
        <f>COUNTIF(실행관리!$C$5:$C$64,B27)</f>
        <v/>
      </c>
      <c r="E27" s="12">
        <f>SUMIF(실행관리!$C$5:$C$64,B27,실행관리!$I$5:$I$64)</f>
        <v/>
      </c>
      <c r="F27" s="12">
        <f>SUMIF(실행관리!$C$5:$C$64,B27,실행관리!$J$5:$J$64)</f>
        <v/>
      </c>
      <c r="G27" s="13">
        <f>IF(E27=0,"-",F27/E27)</f>
        <v/>
      </c>
      <c r="H27" s="12">
        <f>SUMIF(실행관리!$C$5:$C$64,B27,실행관리!$L$5:$L$64)</f>
        <v/>
      </c>
      <c r="I27" s="13">
        <f>IF($E$5=0,"-",F27/$E$5)</f>
        <v/>
      </c>
    </row>
    <row r="28">
      <c r="B28" s="21">
        <f>기준정보!B16</f>
        <v/>
      </c>
      <c r="C28" s="22" t="n"/>
      <c r="D28" s="23">
        <f>COUNTIF(실행관리!$C$5:$C$64,B28)</f>
        <v/>
      </c>
      <c r="E28" s="12">
        <f>SUMIF(실행관리!$C$5:$C$64,B28,실행관리!$I$5:$I$64)</f>
        <v/>
      </c>
      <c r="F28" s="12">
        <f>SUMIF(실행관리!$C$5:$C$64,B28,실행관리!$J$5:$J$64)</f>
        <v/>
      </c>
      <c r="G28" s="13">
        <f>IF(E28=0,"-",F28/E28)</f>
        <v/>
      </c>
      <c r="H28" s="12">
        <f>SUMIF(실행관리!$C$5:$C$64,B28,실행관리!$L$5:$L$64)</f>
        <v/>
      </c>
      <c r="I28" s="13">
        <f>IF($E$5=0,"-",F28/$E$5)</f>
        <v/>
      </c>
    </row>
    <row r="29">
      <c r="B29" s="21">
        <f>기준정보!B17</f>
        <v/>
      </c>
      <c r="C29" s="22" t="n"/>
      <c r="D29" s="23">
        <f>COUNTIF(실행관리!$C$5:$C$64,B29)</f>
        <v/>
      </c>
      <c r="E29" s="12">
        <f>SUMIF(실행관리!$C$5:$C$64,B29,실행관리!$I$5:$I$64)</f>
        <v/>
      </c>
      <c r="F29" s="12">
        <f>SUMIF(실행관리!$C$5:$C$64,B29,실행관리!$J$5:$J$64)</f>
        <v/>
      </c>
      <c r="G29" s="13">
        <f>IF(E29=0,"-",F29/E29)</f>
        <v/>
      </c>
      <c r="H29" s="12">
        <f>SUMIF(실행관리!$C$5:$C$64,B29,실행관리!$L$5:$L$64)</f>
        <v/>
      </c>
      <c r="I29" s="13">
        <f>IF($E$5=0,"-",F29/$E$5)</f>
        <v/>
      </c>
    </row>
    <row r="30">
      <c r="B30" s="21">
        <f>기준정보!B18</f>
        <v/>
      </c>
      <c r="C30" s="22" t="n"/>
      <c r="D30" s="23">
        <f>COUNTIF(실행관리!$C$5:$C$64,B30)</f>
        <v/>
      </c>
      <c r="E30" s="12">
        <f>SUMIF(실행관리!$C$5:$C$64,B30,실행관리!$I$5:$I$64)</f>
        <v/>
      </c>
      <c r="F30" s="12">
        <f>SUMIF(실행관리!$C$5:$C$64,B30,실행관리!$J$5:$J$64)</f>
        <v/>
      </c>
      <c r="G30" s="13">
        <f>IF(E30=0,"-",F30/E30)</f>
        <v/>
      </c>
      <c r="H30" s="12">
        <f>SUMIF(실행관리!$C$5:$C$64,B30,실행관리!$L$5:$L$64)</f>
        <v/>
      </c>
      <c r="I30" s="13">
        <f>IF($E$5=0,"-",F30/$E$5)</f>
        <v/>
      </c>
    </row>
    <row r="31">
      <c r="B31" s="21">
        <f>기준정보!B19</f>
        <v/>
      </c>
      <c r="C31" s="22" t="n"/>
      <c r="D31" s="23">
        <f>COUNTIF(실행관리!$C$5:$C$64,B31)</f>
        <v/>
      </c>
      <c r="E31" s="12">
        <f>SUMIF(실행관리!$C$5:$C$64,B31,실행관리!$I$5:$I$64)</f>
        <v/>
      </c>
      <c r="F31" s="12">
        <f>SUMIF(실행관리!$C$5:$C$64,B31,실행관리!$J$5:$J$64)</f>
        <v/>
      </c>
      <c r="G31" s="13">
        <f>IF(E31=0,"-",F31/E31)</f>
        <v/>
      </c>
      <c r="H31" s="12">
        <f>SUMIF(실행관리!$C$5:$C$64,B31,실행관리!$L$5:$L$64)</f>
        <v/>
      </c>
      <c r="I31" s="13">
        <f>IF($E$5=0,"-",F31/$E$5)</f>
        <v/>
      </c>
    </row>
    <row r="32">
      <c r="B32" s="21">
        <f>기준정보!B20</f>
        <v/>
      </c>
      <c r="C32" s="22" t="n"/>
      <c r="D32" s="23">
        <f>COUNTIF(실행관리!$C$5:$C$64,B32)</f>
        <v/>
      </c>
      <c r="E32" s="12">
        <f>SUMIF(실행관리!$C$5:$C$64,B32,실행관리!$I$5:$I$64)</f>
        <v/>
      </c>
      <c r="F32" s="12">
        <f>SUMIF(실행관리!$C$5:$C$64,B32,실행관리!$J$5:$J$64)</f>
        <v/>
      </c>
      <c r="G32" s="13">
        <f>IF(E32=0,"-",F32/E32)</f>
        <v/>
      </c>
      <c r="H32" s="12">
        <f>SUMIF(실행관리!$C$5:$C$64,B32,실행관리!$L$5:$L$64)</f>
        <v/>
      </c>
      <c r="I32" s="13">
        <f>IF($E$5=0,"-",F32/$E$5)</f>
        <v/>
      </c>
    </row>
    <row r="33">
      <c r="B33" s="21">
        <f>기준정보!B21</f>
        <v/>
      </c>
      <c r="C33" s="22" t="n"/>
      <c r="D33" s="23">
        <f>COUNTIF(실행관리!$C$5:$C$64,B33)</f>
        <v/>
      </c>
      <c r="E33" s="12">
        <f>SUMIF(실행관리!$C$5:$C$64,B33,실행관리!$I$5:$I$64)</f>
        <v/>
      </c>
      <c r="F33" s="12">
        <f>SUMIF(실행관리!$C$5:$C$64,B33,실행관리!$J$5:$J$64)</f>
        <v/>
      </c>
      <c r="G33" s="13">
        <f>IF(E33=0,"-",F33/E33)</f>
        <v/>
      </c>
      <c r="H33" s="12">
        <f>SUMIF(실행관리!$C$5:$C$64,B33,실행관리!$L$5:$L$64)</f>
        <v/>
      </c>
      <c r="I33" s="13">
        <f>IF($E$5=0,"-",F33/$E$5)</f>
        <v/>
      </c>
    </row>
  </sheetData>
  <mergeCells count="25">
    <mergeCell ref="B25:C25"/>
    <mergeCell ref="E5:F5"/>
    <mergeCell ref="K5:L5"/>
    <mergeCell ref="B22:C22"/>
    <mergeCell ref="H4:I4"/>
    <mergeCell ref="B31:C31"/>
    <mergeCell ref="B27:C27"/>
    <mergeCell ref="E4:F4"/>
    <mergeCell ref="B21:C21"/>
    <mergeCell ref="B23:C23"/>
    <mergeCell ref="N5:O5"/>
    <mergeCell ref="B29:C29"/>
    <mergeCell ref="B19:C19"/>
    <mergeCell ref="B28:C28"/>
    <mergeCell ref="B24:C24"/>
    <mergeCell ref="B30:C30"/>
    <mergeCell ref="B33:C33"/>
    <mergeCell ref="B5:C5"/>
    <mergeCell ref="B20:C20"/>
    <mergeCell ref="H5:I5"/>
    <mergeCell ref="B32:C32"/>
    <mergeCell ref="B26:C26"/>
    <mergeCell ref="K4:L4"/>
    <mergeCell ref="B4:C4"/>
    <mergeCell ref="N4:O4"/>
  </mergeCells>
  <conditionalFormatting sqref="G9:G15">
    <cfRule type="dataBar" priority="1">
      <dataBar>
        <cfvo type="num" val="0"/>
        <cfvo type="num" val="1"/>
        <color rgb="005B9BD5"/>
      </dataBar>
    </cfRule>
  </conditionalFormatting>
  <conditionalFormatting sqref="E9:E15">
    <cfRule type="cellIs" priority="2" operator="greaterThan" dxfId="0">
      <formula>0</formula>
    </cfRule>
  </conditionalFormatting>
  <conditionalFormatting sqref="L9:L15">
    <cfRule type="cellIs" priority="3" operator="equal" dxfId="1">
      <formula>"달성"</formula>
    </cfRule>
    <cfRule type="cellIs" priority="4" operator="equal" dxfId="2">
      <formula>"정상"</formula>
    </cfRule>
    <cfRule type="cellIs" priority="5" operator="equal" dxfId="3">
      <formula>"지연"</formula>
    </cfRule>
    <cfRule type="cellIs" priority="6" operator="equal" dxfId="4">
      <formula>"기한초과"</formula>
    </cfRule>
  </conditionalFormatting>
  <conditionalFormatting sqref="I20:I33">
    <cfRule type="dataBar" priority="7">
      <dataBar>
        <cfvo type="num" val="0"/>
        <cfvo type="num" val="1"/>
        <color rgb="0070AD47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8" customWidth="1" min="3" max="3"/>
    <col width="11" customWidth="1" min="4" max="4"/>
    <col width="12" customWidth="1" min="5" max="5"/>
    <col width="10" customWidth="1" min="6" max="6"/>
    <col width="11" customWidth="1" min="7" max="7"/>
    <col width="12" customWidth="1" min="8" max="8"/>
    <col width="11" customWidth="1" min="9" max="9"/>
    <col width="13" customWidth="1" min="10" max="10"/>
    <col width="11" customWidth="1" min="11" max="11"/>
  </cols>
  <sheetData>
    <row r="1">
      <c r="B1" s="1" t="inlineStr">
        <is>
          <t>① 소진 목표 (로트별)</t>
        </is>
      </c>
    </row>
    <row r="2">
      <c r="B2" s="4" t="inlineStr">
        <is>
          <t>기한까지 자연 출고 후 남는 악성 재고 = 소진 목표. 노란 칸만 수정.</t>
        </is>
      </c>
    </row>
    <row r="4" ht="32" customHeight="1">
      <c r="B4" s="5" t="inlineStr">
        <is>
          <t>분류</t>
        </is>
      </c>
      <c r="C4" s="5" t="inlineStr">
        <is>
          <t>중량</t>
        </is>
      </c>
      <c r="D4" s="5" t="inlineStr">
        <is>
          <t>모델명</t>
        </is>
      </c>
      <c r="E4" s="5" t="inlineStr">
        <is>
          <t>유통기한</t>
        </is>
      </c>
      <c r="F4" s="5" t="inlineStr">
        <is>
          <t>재고(개)</t>
        </is>
      </c>
      <c r="G4" s="5" t="inlineStr">
        <is>
          <t>일평균 출고</t>
        </is>
      </c>
      <c r="H4" s="5" t="inlineStr">
        <is>
          <t>소진 기한</t>
        </is>
      </c>
      <c r="I4" s="5" t="inlineStr">
        <is>
          <t>기한까지 일수</t>
        </is>
      </c>
      <c r="J4" s="5" t="inlineStr">
        <is>
          <t>목표 소진 수량</t>
        </is>
      </c>
      <c r="K4" s="5" t="inlineStr">
        <is>
          <t>D-day(오늘)</t>
        </is>
      </c>
    </row>
    <row r="5">
      <c r="B5" s="22" t="inlineStr">
        <is>
          <t>치킨</t>
        </is>
      </c>
      <c r="C5" s="22" t="inlineStr">
        <is>
          <t>28g</t>
        </is>
      </c>
      <c r="D5" s="22" t="inlineStr">
        <is>
          <t>CBTE-1</t>
        </is>
      </c>
      <c r="E5" s="24" t="n">
        <v>46493</v>
      </c>
      <c r="F5" s="25">
        <f>85*24</f>
        <v/>
      </c>
      <c r="G5" s="26">
        <f>4*24/30</f>
        <v/>
      </c>
      <c r="H5" s="14">
        <f>E5-기준정보!$C$5</f>
        <v/>
      </c>
      <c r="I5" s="12">
        <f>H5-기준정보!$C$4</f>
        <v/>
      </c>
      <c r="J5" s="27">
        <f>MAX(0,ROUND(F5-I5*G5,0))</f>
        <v/>
      </c>
      <c r="K5" s="15">
        <f>H5-TODAY()</f>
        <v/>
      </c>
    </row>
    <row r="6">
      <c r="B6" s="22" t="inlineStr">
        <is>
          <t>치킨</t>
        </is>
      </c>
      <c r="C6" s="22" t="inlineStr">
        <is>
          <t>198g</t>
        </is>
      </c>
      <c r="D6" s="22" t="inlineStr">
        <is>
          <t>CBTE-7</t>
        </is>
      </c>
      <c r="E6" s="24" t="n">
        <v>46475</v>
      </c>
      <c r="F6" s="25">
        <f>44*8</f>
        <v/>
      </c>
      <c r="G6" s="26">
        <f>6*8/30</f>
        <v/>
      </c>
      <c r="H6" s="14">
        <f>E6-기준정보!$C$5</f>
        <v/>
      </c>
      <c r="I6" s="12">
        <f>H6-기준정보!$C$4</f>
        <v/>
      </c>
      <c r="J6" s="27">
        <f>MAX(0,ROUND(F6-I6*G6,0))</f>
        <v/>
      </c>
      <c r="K6" s="15">
        <f>H6-TODAY()</f>
        <v/>
      </c>
    </row>
    <row r="7">
      <c r="B7" s="22" t="inlineStr">
        <is>
          <t>치킨</t>
        </is>
      </c>
      <c r="C7" s="22" t="inlineStr">
        <is>
          <t>198g</t>
        </is>
      </c>
      <c r="D7" s="22" t="inlineStr">
        <is>
          <t>CBTE-7</t>
        </is>
      </c>
      <c r="E7" s="24" t="n">
        <v>46514</v>
      </c>
      <c r="F7" s="25">
        <f>105*8</f>
        <v/>
      </c>
      <c r="G7" s="26">
        <f>6*8/30</f>
        <v/>
      </c>
      <c r="H7" s="14">
        <f>E7-기준정보!$C$5</f>
        <v/>
      </c>
      <c r="I7" s="12">
        <f>H7-기준정보!$C$4</f>
        <v/>
      </c>
      <c r="J7" s="27">
        <f>MAX(0,ROUND(F7-I7*G7,0))</f>
        <v/>
      </c>
      <c r="K7" s="15">
        <f>H7-TODAY()</f>
        <v/>
      </c>
    </row>
    <row r="8">
      <c r="B8" s="22" t="inlineStr">
        <is>
          <t>치킨</t>
        </is>
      </c>
      <c r="C8" s="22" t="inlineStr">
        <is>
          <t>567g</t>
        </is>
      </c>
      <c r="D8" s="22" t="inlineStr">
        <is>
          <t>CBTE-20</t>
        </is>
      </c>
      <c r="E8" s="24" t="n">
        <v>46508</v>
      </c>
      <c r="F8" s="25">
        <f>274*4</f>
        <v/>
      </c>
      <c r="G8" s="26">
        <f>5*4/30</f>
        <v/>
      </c>
      <c r="H8" s="14">
        <f>E8-기준정보!$C$5</f>
        <v/>
      </c>
      <c r="I8" s="12">
        <f>H8-기준정보!$C$4</f>
        <v/>
      </c>
      <c r="J8" s="27">
        <f>MAX(0,ROUND(F8-I8*G8,0))</f>
        <v/>
      </c>
      <c r="K8" s="15">
        <f>H8-TODAY()</f>
        <v/>
      </c>
    </row>
    <row r="9">
      <c r="B9" s="22" t="inlineStr">
        <is>
          <t>터키</t>
        </is>
      </c>
      <c r="C9" s="22" t="inlineStr">
        <is>
          <t>198g</t>
        </is>
      </c>
      <c r="D9" s="22" t="inlineStr">
        <is>
          <t>TBTE-7</t>
        </is>
      </c>
      <c r="E9" s="24" t="n">
        <v>46475</v>
      </c>
      <c r="F9" s="25">
        <f>23*8</f>
        <v/>
      </c>
      <c r="G9" s="26">
        <f>7*8/30</f>
        <v/>
      </c>
      <c r="H9" s="14">
        <f>E9-기준정보!$C$5</f>
        <v/>
      </c>
      <c r="I9" s="12">
        <f>H9-기준정보!$C$4</f>
        <v/>
      </c>
      <c r="J9" s="27">
        <f>MAX(0,ROUND(F9-I9*G9,0))</f>
        <v/>
      </c>
      <c r="K9" s="15">
        <f>H9-TODAY()</f>
        <v/>
      </c>
    </row>
    <row r="10">
      <c r="B10" s="22" t="inlineStr">
        <is>
          <t>터키</t>
        </is>
      </c>
      <c r="C10" s="22" t="inlineStr">
        <is>
          <t>198g</t>
        </is>
      </c>
      <c r="D10" s="22" t="inlineStr">
        <is>
          <t>TBTE-7</t>
        </is>
      </c>
      <c r="E10" s="24" t="n">
        <v>46479</v>
      </c>
      <c r="F10" s="25">
        <f>40*8</f>
        <v/>
      </c>
      <c r="G10" s="26">
        <f>7*8/30</f>
        <v/>
      </c>
      <c r="H10" s="14">
        <f>E10-기준정보!$C$5</f>
        <v/>
      </c>
      <c r="I10" s="12">
        <f>H10-기준정보!$C$4</f>
        <v/>
      </c>
      <c r="J10" s="27">
        <f>MAX(0,ROUND(F10-I10*G10,0))</f>
        <v/>
      </c>
      <c r="K10" s="15">
        <f>H10-TODAY()</f>
        <v/>
      </c>
    </row>
    <row r="11">
      <c r="B11" s="22" t="inlineStr">
        <is>
          <t>터키</t>
        </is>
      </c>
      <c r="C11" s="22" t="inlineStr">
        <is>
          <t>198g</t>
        </is>
      </c>
      <c r="D11" s="22" t="inlineStr">
        <is>
          <t>TBTE-7</t>
        </is>
      </c>
      <c r="E11" s="24" t="n">
        <v>46515</v>
      </c>
      <c r="F11" s="25">
        <f>20*8</f>
        <v/>
      </c>
      <c r="G11" s="26">
        <f>7*8/30</f>
        <v/>
      </c>
      <c r="H11" s="14">
        <f>E11-기준정보!$C$5</f>
        <v/>
      </c>
      <c r="I11" s="12">
        <f>H11-기준정보!$C$4</f>
        <v/>
      </c>
      <c r="J11" s="27">
        <f>MAX(0,ROUND(F11-I11*G11,0))</f>
        <v/>
      </c>
      <c r="K11" s="15">
        <f>H11-TODAY()</f>
        <v/>
      </c>
    </row>
    <row r="12">
      <c r="B12" s="22" t="inlineStr">
        <is>
          <t>터키</t>
        </is>
      </c>
      <c r="C12" s="22" t="inlineStr">
        <is>
          <t>198g</t>
        </is>
      </c>
      <c r="D12" s="22" t="inlineStr">
        <is>
          <t>TBTE-7</t>
        </is>
      </c>
      <c r="E12" s="24" t="n">
        <v>46521</v>
      </c>
      <c r="F12" s="25">
        <f>100*8</f>
        <v/>
      </c>
      <c r="G12" s="26">
        <f>7*8/30</f>
        <v/>
      </c>
      <c r="H12" s="14">
        <f>E12-기준정보!$C$5</f>
        <v/>
      </c>
      <c r="I12" s="12">
        <f>H12-기준정보!$C$4</f>
        <v/>
      </c>
      <c r="J12" s="27">
        <f>MAX(0,ROUND(F12-I12*G12,0))</f>
        <v/>
      </c>
      <c r="K12" s="15">
        <f>H12-TODAY()</f>
        <v/>
      </c>
    </row>
    <row r="13">
      <c r="B13" s="22" t="inlineStr">
        <is>
          <t>터키</t>
        </is>
      </c>
      <c r="C13" s="22" t="inlineStr">
        <is>
          <t>567g</t>
        </is>
      </c>
      <c r="D13" s="22" t="inlineStr">
        <is>
          <t>TBTE-20</t>
        </is>
      </c>
      <c r="E13" s="24" t="n">
        <v>46507</v>
      </c>
      <c r="F13" s="25">
        <f>1*4</f>
        <v/>
      </c>
      <c r="G13" s="26">
        <f>11*4/30</f>
        <v/>
      </c>
      <c r="H13" s="14">
        <f>E13-기준정보!$C$5</f>
        <v/>
      </c>
      <c r="I13" s="12">
        <f>H13-기준정보!$C$4</f>
        <v/>
      </c>
      <c r="J13" s="27">
        <f>MAX(0,ROUND(F13-I13*G13,0))</f>
        <v/>
      </c>
      <c r="K13" s="15">
        <f>H13-TODAY()</f>
        <v/>
      </c>
    </row>
    <row r="14">
      <c r="B14" s="22" t="inlineStr">
        <is>
          <t>터키</t>
        </is>
      </c>
      <c r="C14" s="22" t="inlineStr">
        <is>
          <t>567g</t>
        </is>
      </c>
      <c r="D14" s="22" t="inlineStr">
        <is>
          <t>TBTE-20</t>
        </is>
      </c>
      <c r="E14" s="24" t="n">
        <v>46508</v>
      </c>
      <c r="F14" s="25">
        <f>74*4</f>
        <v/>
      </c>
      <c r="G14" s="26">
        <f>11*4/30</f>
        <v/>
      </c>
      <c r="H14" s="14">
        <f>E14-기준정보!$C$5</f>
        <v/>
      </c>
      <c r="I14" s="12">
        <f>H14-기준정보!$C$4</f>
        <v/>
      </c>
      <c r="J14" s="27">
        <f>MAX(0,ROUND(F14-I14*G14,0))</f>
        <v/>
      </c>
      <c r="K14" s="15">
        <f>H14-TODAY()</f>
        <v/>
      </c>
    </row>
    <row r="15">
      <c r="B15" s="22" t="inlineStr">
        <is>
          <t>터키</t>
        </is>
      </c>
      <c r="C15" s="22" t="inlineStr">
        <is>
          <t>567g</t>
        </is>
      </c>
      <c r="D15" s="22" t="inlineStr">
        <is>
          <t>TBTE-20</t>
        </is>
      </c>
      <c r="E15" s="24" t="n">
        <v>46519</v>
      </c>
      <c r="F15" s="25">
        <f>83*4</f>
        <v/>
      </c>
      <c r="G15" s="26">
        <f>11*4/30</f>
        <v/>
      </c>
      <c r="H15" s="14">
        <f>E15-기준정보!$C$5</f>
        <v/>
      </c>
      <c r="I15" s="12">
        <f>H15-기준정보!$C$4</f>
        <v/>
      </c>
      <c r="J15" s="27">
        <f>MAX(0,ROUND(F15-I15*G15,0))</f>
        <v/>
      </c>
      <c r="K15" s="15">
        <f>H15-TODAY()</f>
        <v/>
      </c>
    </row>
    <row r="16">
      <c r="B16" s="22" t="inlineStr">
        <is>
          <t>터키</t>
        </is>
      </c>
      <c r="C16" s="22" t="inlineStr">
        <is>
          <t>567g</t>
        </is>
      </c>
      <c r="D16" s="22" t="inlineStr">
        <is>
          <t>TBTE-20</t>
        </is>
      </c>
      <c r="E16" s="24" t="n">
        <v>46521</v>
      </c>
      <c r="F16" s="25">
        <f>77*4</f>
        <v/>
      </c>
      <c r="G16" s="26">
        <f>11*4/30</f>
        <v/>
      </c>
      <c r="H16" s="14">
        <f>E16-기준정보!$C$5</f>
        <v/>
      </c>
      <c r="I16" s="12">
        <f>H16-기준정보!$C$4</f>
        <v/>
      </c>
      <c r="J16" s="27">
        <f>MAX(0,ROUND(F16-I16*G16,0))</f>
        <v/>
      </c>
      <c r="K16" s="15">
        <f>H16-TODAY()</f>
        <v/>
      </c>
    </row>
    <row r="17">
      <c r="B17" s="22" t="inlineStr">
        <is>
          <t>덕</t>
        </is>
      </c>
      <c r="C17" s="22" t="inlineStr">
        <is>
          <t>198g</t>
        </is>
      </c>
      <c r="D17" s="22" t="inlineStr">
        <is>
          <t>DBTE-7</t>
        </is>
      </c>
      <c r="E17" s="24" t="n">
        <v>46464</v>
      </c>
      <c r="F17" s="25">
        <f>77*8</f>
        <v/>
      </c>
      <c r="G17" s="26">
        <f>8*8/30</f>
        <v/>
      </c>
      <c r="H17" s="14">
        <f>E17-기준정보!$C$5</f>
        <v/>
      </c>
      <c r="I17" s="12">
        <f>H17-기준정보!$C$4</f>
        <v/>
      </c>
      <c r="J17" s="27">
        <f>MAX(0,ROUND(F17-I17*G17,0))</f>
        <v/>
      </c>
      <c r="K17" s="15">
        <f>H17-TODAY()</f>
        <v/>
      </c>
    </row>
    <row r="18">
      <c r="B18" s="22" t="inlineStr">
        <is>
          <t>덕</t>
        </is>
      </c>
      <c r="C18" s="22" t="inlineStr">
        <is>
          <t>198g</t>
        </is>
      </c>
      <c r="D18" s="22" t="inlineStr">
        <is>
          <t>DBTE-7</t>
        </is>
      </c>
      <c r="E18" s="24" t="n">
        <v>46510</v>
      </c>
      <c r="F18" s="25">
        <f>97*8</f>
        <v/>
      </c>
      <c r="G18" s="26">
        <f>8*8/30</f>
        <v/>
      </c>
      <c r="H18" s="14">
        <f>E18-기준정보!$C$5</f>
        <v/>
      </c>
      <c r="I18" s="12">
        <f>H18-기준정보!$C$4</f>
        <v/>
      </c>
      <c r="J18" s="27">
        <f>MAX(0,ROUND(F18-I18*G18,0))</f>
        <v/>
      </c>
      <c r="K18" s="15">
        <f>H18-TODAY()</f>
        <v/>
      </c>
    </row>
    <row r="19">
      <c r="B19" s="22" t="inlineStr">
        <is>
          <t>덕</t>
        </is>
      </c>
      <c r="C19" s="22" t="inlineStr">
        <is>
          <t>539g</t>
        </is>
      </c>
      <c r="D19" s="22" t="inlineStr">
        <is>
          <t>DBTE-19</t>
        </is>
      </c>
      <c r="E19" s="24" t="n">
        <v>46501</v>
      </c>
      <c r="F19" s="25">
        <f>125*4</f>
        <v/>
      </c>
      <c r="G19" s="26">
        <f>4*4/30</f>
        <v/>
      </c>
      <c r="H19" s="14">
        <f>E19-기준정보!$C$5</f>
        <v/>
      </c>
      <c r="I19" s="12">
        <f>H19-기준정보!$C$4</f>
        <v/>
      </c>
      <c r="J19" s="27">
        <f>MAX(0,ROUND(F19-I19*G19,0))</f>
        <v/>
      </c>
      <c r="K19" s="15">
        <f>H19-TODAY()</f>
        <v/>
      </c>
    </row>
    <row r="20">
      <c r="B20" s="22" t="inlineStr">
        <is>
          <t>덕</t>
        </is>
      </c>
      <c r="C20" s="22" t="inlineStr">
        <is>
          <t>539g</t>
        </is>
      </c>
      <c r="D20" s="22" t="inlineStr">
        <is>
          <t>DBTE-19</t>
        </is>
      </c>
      <c r="E20" s="24" t="n">
        <v>46521</v>
      </c>
      <c r="F20" s="25">
        <f>151*4</f>
        <v/>
      </c>
      <c r="G20" s="26">
        <f>4*4/30</f>
        <v/>
      </c>
      <c r="H20" s="14">
        <f>E20-기준정보!$C$5</f>
        <v/>
      </c>
      <c r="I20" s="12">
        <f>H20-기준정보!$C$4</f>
        <v/>
      </c>
      <c r="J20" s="27">
        <f>MAX(0,ROUND(F20-I20*G20,0))</f>
        <v/>
      </c>
      <c r="K20" s="15">
        <f>H20-TODAY()</f>
        <v/>
      </c>
    </row>
    <row r="21">
      <c r="B21" s="17" t="inlineStr">
        <is>
          <t>합계</t>
        </is>
      </c>
      <c r="C21" s="28" t="n"/>
      <c r="D21" s="28" t="n"/>
      <c r="E21" s="20" t="n"/>
      <c r="F21" s="17">
        <f>SUM(F5:F20)</f>
        <v/>
      </c>
      <c r="G21" s="17" t="n"/>
      <c r="H21" s="17" t="n"/>
      <c r="I21" s="17" t="n"/>
      <c r="J21" s="17">
        <f>SUM(J5:J20)</f>
        <v/>
      </c>
      <c r="K21" s="17" t="n"/>
    </row>
    <row r="23">
      <c r="B23" s="4" t="inlineStr">
        <is>
          <t>※ 목표 소진 수량 = 재고 − (기한까지 일수 × 일평균 출고). 0 이하면 자연 출고로 소진 가능 → 목표 0.</t>
        </is>
      </c>
    </row>
    <row r="24">
      <c r="B24" s="4" t="inlineStr">
        <is>
          <t>※ 일평균 출고 = 월 출고(박스×입수) ÷ 30. 유통기한·재고·일평균 출고는 실사 결과에 맞춰 수정.</t>
        </is>
      </c>
    </row>
  </sheetData>
  <mergeCells count="1">
    <mergeCell ref="B21:E21"/>
  </mergeCells>
  <conditionalFormatting sqref="K5:K20">
    <cfRule type="cellIs" priority="1" operator="lessThanOrEqual" dxfId="0">
      <formula>30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N6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22" customWidth="1" min="3" max="3"/>
    <col width="28" customWidth="1" min="4" max="4"/>
    <col width="11" customWidth="1" min="5" max="5"/>
    <col width="9" customWidth="1" min="6" max="6"/>
    <col width="9" customWidth="1" min="7" max="7"/>
    <col width="9" customWidth="1" min="8" max="8"/>
    <col width="10" customWidth="1" min="9" max="9"/>
    <col width="10" customWidth="1" min="10" max="10"/>
    <col width="9" customWidth="1" min="11" max="11"/>
    <col width="13" customWidth="1" min="12" max="12"/>
    <col width="10" customWidth="1" min="13" max="13"/>
    <col width="44" customWidth="1" min="14" max="14"/>
  </cols>
  <sheetData>
    <row r="1">
      <c r="B1" s="1" t="inlineStr">
        <is>
          <t>② 실행 관리 (방법별 계획·실적)</t>
        </is>
      </c>
    </row>
    <row r="2">
      <c r="B2" s="4" t="inlineStr">
        <is>
          <t>한 줄 = 한 건의 소진 액션. 노란 칸 입력 → 달성률·상태 자동. 실적은 주 1회 업데이트.</t>
        </is>
      </c>
    </row>
    <row r="4" ht="32" customHeight="1">
      <c r="B4" s="5" t="inlineStr">
        <is>
          <t>No</t>
        </is>
      </c>
      <c r="C4" s="5" t="inlineStr">
        <is>
          <t>소진 방법</t>
        </is>
      </c>
      <c r="D4" s="5" t="inlineStr">
        <is>
          <t>상세 (인플루언서·거래처·옵션 등)</t>
        </is>
      </c>
      <c r="E4" s="5" t="inlineStr">
        <is>
          <t>대상 모델</t>
        </is>
      </c>
      <c r="F4" s="5" t="inlineStr">
        <is>
          <t>담당자</t>
        </is>
      </c>
      <c r="G4" s="5" t="inlineStr">
        <is>
          <t>시작일</t>
        </is>
      </c>
      <c r="H4" s="5" t="inlineStr">
        <is>
          <t>종료일</t>
        </is>
      </c>
      <c r="I4" s="5" t="inlineStr">
        <is>
          <t>목표 수량</t>
        </is>
      </c>
      <c r="J4" s="5" t="inlineStr">
        <is>
          <t>실적 수량</t>
        </is>
      </c>
      <c r="K4" s="5" t="inlineStr">
        <is>
          <t>달성률</t>
        </is>
      </c>
      <c r="L4" s="5" t="inlineStr">
        <is>
          <t>매출(원)</t>
        </is>
      </c>
      <c r="M4" s="5" t="inlineStr">
        <is>
          <t>상태</t>
        </is>
      </c>
      <c r="N4" s="5" t="inlineStr">
        <is>
          <t>부진 사유 / 다음 액션</t>
        </is>
      </c>
    </row>
    <row r="5">
      <c r="B5" s="22" t="n">
        <v>1</v>
      </c>
      <c r="C5" s="29" t="inlineStr">
        <is>
          <t>공동구매</t>
        </is>
      </c>
      <c r="D5" s="30" t="inlineStr">
        <is>
          <t>인플루언서: 부끄</t>
        </is>
      </c>
      <c r="E5" s="29" t="inlineStr"/>
      <c r="F5" s="29" t="n"/>
      <c r="G5" s="31" t="n"/>
      <c r="H5" s="31" t="n"/>
      <c r="I5" s="25" t="n"/>
      <c r="J5" s="25" t="n"/>
      <c r="K5" s="13">
        <f>IF(OR(I5="",I5=0),"",J5/I5)</f>
        <v/>
      </c>
      <c r="L5" s="25" t="n"/>
      <c r="M5" s="22">
        <f>IF(C5="","",IF(AND(I5&gt;0,J5&gt;=I5),"완료",IF(G5="","미정",IF(TODAY()&lt;G5,"예정",IF(AND(H5&lt;&gt;"",TODAY()&gt;H5),"미달 종료","진행중")))))</f>
        <v/>
      </c>
      <c r="N5" s="30" t="n"/>
    </row>
    <row r="6">
      <c r="B6" s="22" t="n">
        <v>2</v>
      </c>
      <c r="C6" s="29" t="inlineStr">
        <is>
          <t>넾다세일</t>
        </is>
      </c>
      <c r="D6" s="30" t="inlineStr"/>
      <c r="E6" s="29" t="inlineStr"/>
      <c r="F6" s="29" t="n"/>
      <c r="G6" s="31" t="n"/>
      <c r="H6" s="31" t="n"/>
      <c r="I6" s="25" t="n"/>
      <c r="J6" s="25" t="n"/>
      <c r="K6" s="13">
        <f>IF(OR(I6="",I6=0),"",J6/I6)</f>
        <v/>
      </c>
      <c r="L6" s="25" t="n"/>
      <c r="M6" s="22">
        <f>IF(C6="","",IF(AND(I6&gt;0,J6&gt;=I6),"완료",IF(G6="","미정",IF(TODAY()&lt;G6,"예정",IF(AND(H6&lt;&gt;"",TODAY()&gt;H6),"미달 종료","진행중")))))</f>
        <v/>
      </c>
      <c r="N6" s="30" t="n"/>
    </row>
    <row r="7">
      <c r="B7" s="22" t="n">
        <v>3</v>
      </c>
      <c r="C7" s="29" t="inlineStr">
        <is>
          <t>자사몰 임박재고 프로모션</t>
        </is>
      </c>
      <c r="D7" s="30" t="inlineStr">
        <is>
          <t>기한 빠른 로트 우선</t>
        </is>
      </c>
      <c r="E7" s="29" t="inlineStr"/>
      <c r="F7" s="29" t="n"/>
      <c r="G7" s="31" t="n"/>
      <c r="H7" s="31" t="n"/>
      <c r="I7" s="25" t="n"/>
      <c r="J7" s="25" t="n"/>
      <c r="K7" s="13">
        <f>IF(OR(I7="",I7=0),"",J7/I7)</f>
        <v/>
      </c>
      <c r="L7" s="25" t="n"/>
      <c r="M7" s="22">
        <f>IF(C7="","",IF(AND(I7&gt;0,J7&gt;=I7),"완료",IF(G7="","미정",IF(TODAY()&lt;G7,"예정",IF(AND(H7&lt;&gt;"",TODAY()&gt;H7),"미달 종료","진행중")))))</f>
        <v/>
      </c>
      <c r="N7" s="30" t="n"/>
    </row>
    <row r="8">
      <c r="B8" s="22" t="n">
        <v>4</v>
      </c>
      <c r="C8" s="29" t="inlineStr">
        <is>
          <t>박스 단위 할인(40-42%)</t>
        </is>
      </c>
      <c r="D8" s="30" t="inlineStr">
        <is>
          <t>198 박스 1.5kg 19만 (42%)</t>
        </is>
      </c>
      <c r="E8" s="29" t="inlineStr"/>
      <c r="F8" s="29" t="n"/>
      <c r="G8" s="31" t="n"/>
      <c r="H8" s="31" t="n"/>
      <c r="I8" s="25" t="n"/>
      <c r="J8" s="25" t="n"/>
      <c r="K8" s="13">
        <f>IF(OR(I8="",I8=0),"",J8/I8)</f>
        <v/>
      </c>
      <c r="L8" s="25" t="n"/>
      <c r="M8" s="22">
        <f>IF(C8="","",IF(AND(I8&gt;0,J8&gt;=I8),"완료",IF(G8="","미정",IF(TODAY()&lt;G8,"예정",IF(AND(H8&lt;&gt;"",TODAY()&gt;H8),"미달 종료","진행중")))))</f>
        <v/>
      </c>
      <c r="N8" s="30" t="n"/>
    </row>
    <row r="9">
      <c r="B9" s="22" t="n">
        <v>5</v>
      </c>
      <c r="C9" s="29" t="inlineStr">
        <is>
          <t>박스 단위 할인(40-42%)</t>
        </is>
      </c>
      <c r="D9" s="30" t="inlineStr">
        <is>
          <t>198 덕 1.5kg 19.9만 (42%)</t>
        </is>
      </c>
      <c r="E9" s="29" t="inlineStr">
        <is>
          <t>DBTE-7</t>
        </is>
      </c>
      <c r="F9" s="29" t="n"/>
      <c r="G9" s="31" t="n"/>
      <c r="H9" s="31" t="n"/>
      <c r="I9" s="25" t="n"/>
      <c r="J9" s="25" t="n"/>
      <c r="K9" s="13">
        <f>IF(OR(I9="",I9=0),"",J9/I9)</f>
        <v/>
      </c>
      <c r="L9" s="25" t="n"/>
      <c r="M9" s="22">
        <f>IF(C9="","",IF(AND(I9&gt;0,J9&gt;=I9),"완료",IF(G9="","미정",IF(TODAY()&lt;G9,"예정",IF(AND(H9&lt;&gt;"",TODAY()&gt;H9),"미달 종료","진행중")))))</f>
        <v/>
      </c>
      <c r="N9" s="30" t="n"/>
    </row>
    <row r="10">
      <c r="B10" s="22" t="n">
        <v>6</v>
      </c>
      <c r="C10" s="29" t="inlineStr">
        <is>
          <t>박스 단위 할인(40-42%)</t>
        </is>
      </c>
      <c r="D10" s="30" t="inlineStr">
        <is>
          <t>567 박스 2.2kg 23.5만 (40%)</t>
        </is>
      </c>
      <c r="E10" s="29" t="inlineStr"/>
      <c r="F10" s="29" t="n"/>
      <c r="G10" s="31" t="n"/>
      <c r="H10" s="31" t="n"/>
      <c r="I10" s="25" t="n"/>
      <c r="J10" s="25" t="n"/>
      <c r="K10" s="13">
        <f>IF(OR(I10="",I10=0),"",J10/I10)</f>
        <v/>
      </c>
      <c r="L10" s="25" t="n"/>
      <c r="M10" s="22">
        <f>IF(C10="","",IF(AND(I10&gt;0,J10&gt;=I10),"완료",IF(G10="","미정",IF(TODAY()&lt;G10,"예정",IF(AND(H10&lt;&gt;"",TODAY()&gt;H10),"미달 종료","진행중")))))</f>
        <v/>
      </c>
      <c r="N10" s="30" t="n"/>
    </row>
    <row r="11">
      <c r="B11" s="22" t="n">
        <v>7</v>
      </c>
      <c r="C11" s="29" t="inlineStr">
        <is>
          <t>박스 단위 할인(40-42%)</t>
        </is>
      </c>
      <c r="D11" s="30" t="inlineStr">
        <is>
          <t>539 박스 2.1kg 26.4만 (40%)</t>
        </is>
      </c>
      <c r="E11" s="29" t="inlineStr">
        <is>
          <t>DBTE-19</t>
        </is>
      </c>
      <c r="F11" s="29" t="n"/>
      <c r="G11" s="31" t="n"/>
      <c r="H11" s="31" t="n"/>
      <c r="I11" s="25" t="n"/>
      <c r="J11" s="25" t="n"/>
      <c r="K11" s="13">
        <f>IF(OR(I11="",I11=0),"",J11/I11)</f>
        <v/>
      </c>
      <c r="L11" s="25" t="n"/>
      <c r="M11" s="22">
        <f>IF(C11="","",IF(AND(I11&gt;0,J11&gt;=I11),"완료",IF(G11="","미정",IF(TODAY()&lt;G11,"예정",IF(AND(H11&lt;&gt;"",TODAY()&gt;H11),"미달 종료","진행중")))))</f>
        <v/>
      </c>
      <c r="N11" s="30" t="n"/>
    </row>
    <row r="12">
      <c r="B12" s="22" t="n">
        <v>8</v>
      </c>
      <c r="C12" s="29" t="inlineStr">
        <is>
          <t>28g 첫구매 프로모션</t>
        </is>
      </c>
      <c r="D12" s="30" t="inlineStr">
        <is>
          <t>첫 구매 고객 대상</t>
        </is>
      </c>
      <c r="E12" s="29" t="inlineStr">
        <is>
          <t>CBTE-1</t>
        </is>
      </c>
      <c r="F12" s="29" t="n"/>
      <c r="G12" s="31" t="n"/>
      <c r="H12" s="31" t="n"/>
      <c r="I12" s="25" t="n"/>
      <c r="J12" s="25" t="n"/>
      <c r="K12" s="13">
        <f>IF(OR(I12="",I12=0),"",J12/I12)</f>
        <v/>
      </c>
      <c r="L12" s="25" t="n"/>
      <c r="M12" s="22">
        <f>IF(C12="","",IF(AND(I12&gt;0,J12&gt;=I12),"완료",IF(G12="","미정",IF(TODAY()&lt;G12,"예정",IF(AND(H12&lt;&gt;"",TODAY()&gt;H12),"미달 종료","진행중")))))</f>
        <v/>
      </c>
      <c r="N12" s="30" t="n"/>
    </row>
    <row r="13">
      <c r="B13" s="22" t="n">
        <v>9</v>
      </c>
      <c r="C13" s="29" t="inlineStr">
        <is>
          <t>묶음 옵션 판매</t>
        </is>
      </c>
      <c r="D13" s="30" t="inlineStr">
        <is>
          <t>대용량 상품에 소용량 옵션 추가</t>
        </is>
      </c>
      <c r="E13" s="29" t="inlineStr"/>
      <c r="F13" s="29" t="n"/>
      <c r="G13" s="31" t="n"/>
      <c r="H13" s="31" t="n"/>
      <c r="I13" s="25" t="n"/>
      <c r="J13" s="25" t="n"/>
      <c r="K13" s="13">
        <f>IF(OR(I13="",I13=0),"",J13/I13)</f>
        <v/>
      </c>
      <c r="L13" s="25" t="n"/>
      <c r="M13" s="22">
        <f>IF(C13="","",IF(AND(I13&gt;0,J13&gt;=I13),"완료",IF(G13="","미정",IF(TODAY()&lt;G13,"예정",IF(AND(H13&lt;&gt;"",TODAY()&gt;H13),"미달 종료","진행중")))))</f>
        <v/>
      </c>
      <c r="N13" s="30" t="n"/>
    </row>
    <row r="14">
      <c r="B14" s="22" t="n">
        <v>10</v>
      </c>
      <c r="C14" s="29" t="inlineStr">
        <is>
          <t>리테일 임박재고 공급</t>
        </is>
      </c>
      <c r="D14" s="30" t="inlineStr">
        <is>
          <t>임박 전용 공급가 / 묶음 제안</t>
        </is>
      </c>
      <c r="E14" s="29" t="inlineStr"/>
      <c r="F14" s="29" t="n"/>
      <c r="G14" s="31" t="n"/>
      <c r="H14" s="31" t="n"/>
      <c r="I14" s="25" t="n"/>
      <c r="J14" s="25" t="n"/>
      <c r="K14" s="13">
        <f>IF(OR(I14="",I14=0),"",J14/I14)</f>
        <v/>
      </c>
      <c r="L14" s="25" t="n"/>
      <c r="M14" s="22">
        <f>IF(C14="","",IF(AND(I14&gt;0,J14&gt;=I14),"완료",IF(G14="","미정",IF(TODAY()&lt;G14,"예정",IF(AND(H14&lt;&gt;"",TODAY()&gt;H14),"미달 종료","진행중")))))</f>
        <v/>
      </c>
      <c r="N14" s="30" t="n"/>
    </row>
    <row r="15">
      <c r="B15" s="22" t="n">
        <v>11</v>
      </c>
      <c r="C15" s="29" t="inlineStr">
        <is>
          <t>B2B 발주 장려금</t>
        </is>
      </c>
      <c r="D15" s="30" t="inlineStr">
        <is>
          <t>장기 미발주·매출 하락 거래처</t>
        </is>
      </c>
      <c r="E15" s="29" t="inlineStr"/>
      <c r="F15" s="29" t="n"/>
      <c r="G15" s="31" t="n"/>
      <c r="H15" s="31" t="n"/>
      <c r="I15" s="25" t="n"/>
      <c r="J15" s="25" t="n"/>
      <c r="K15" s="13">
        <f>IF(OR(I15="",I15=0),"",J15/I15)</f>
        <v/>
      </c>
      <c r="L15" s="25" t="n"/>
      <c r="M15" s="22">
        <f>IF(C15="","",IF(AND(I15&gt;0,J15&gt;=I15),"완료",IF(G15="","미정",IF(TODAY()&lt;G15,"예정",IF(AND(H15&lt;&gt;"",TODAY()&gt;H15),"미달 종료","진행중")))))</f>
        <v/>
      </c>
      <c r="N15" s="30" t="n"/>
    </row>
    <row r="16">
      <c r="B16" s="22" t="n">
        <v>12</v>
      </c>
      <c r="C16" s="29" t="inlineStr">
        <is>
          <t>B2B 샘플 지원</t>
        </is>
      </c>
      <c r="D16" s="30" t="inlineStr">
        <is>
          <t>비인기 품목 발주 시 샘플</t>
        </is>
      </c>
      <c r="E16" s="29" t="inlineStr"/>
      <c r="F16" s="29" t="n"/>
      <c r="G16" s="31" t="n"/>
      <c r="H16" s="31" t="n"/>
      <c r="I16" s="25" t="n"/>
      <c r="J16" s="25" t="n"/>
      <c r="K16" s="13">
        <f>IF(OR(I16="",I16=0),"",J16/I16)</f>
        <v/>
      </c>
      <c r="L16" s="25" t="n"/>
      <c r="M16" s="22">
        <f>IF(C16="","",IF(AND(I16&gt;0,J16&gt;=I16),"완료",IF(G16="","미정",IF(TODAY()&lt;G16,"예정",IF(AND(H16&lt;&gt;"",TODAY()&gt;H16),"미달 종료","진행중")))))</f>
        <v/>
      </c>
      <c r="N16" s="30" t="n"/>
    </row>
    <row r="17">
      <c r="B17" s="22" t="n">
        <v>13</v>
      </c>
      <c r="C17" s="29" t="inlineStr">
        <is>
          <t>블로그체험단</t>
        </is>
      </c>
      <c r="D17" s="30" t="inlineStr"/>
      <c r="E17" s="29" t="inlineStr"/>
      <c r="F17" s="29" t="n"/>
      <c r="G17" s="31" t="n"/>
      <c r="H17" s="31" t="n"/>
      <c r="I17" s="25" t="n"/>
      <c r="J17" s="25" t="n"/>
      <c r="K17" s="13">
        <f>IF(OR(I17="",I17=0),"",J17/I17)</f>
        <v/>
      </c>
      <c r="L17" s="25" t="n"/>
      <c r="M17" s="22">
        <f>IF(C17="","",IF(AND(I17&gt;0,J17&gt;=I17),"완료",IF(G17="","미정",IF(TODAY()&lt;G17,"예정",IF(AND(H17&lt;&gt;"",TODAY()&gt;H17),"미달 종료","진행중")))))</f>
        <v/>
      </c>
      <c r="N17" s="30" t="n"/>
    </row>
    <row r="18">
      <c r="B18" s="22" t="n">
        <v>14</v>
      </c>
      <c r="C18" s="29" t="inlineStr">
        <is>
          <t>메타광고</t>
        </is>
      </c>
      <c r="D18" s="30" t="inlineStr"/>
      <c r="E18" s="29" t="inlineStr"/>
      <c r="F18" s="29" t="n"/>
      <c r="G18" s="31" t="n"/>
      <c r="H18" s="31" t="n"/>
      <c r="I18" s="25" t="n"/>
      <c r="J18" s="25" t="n"/>
      <c r="K18" s="13">
        <f>IF(OR(I18="",I18=0),"",J18/I18)</f>
        <v/>
      </c>
      <c r="L18" s="25" t="n"/>
      <c r="M18" s="22">
        <f>IF(C18="","",IF(AND(I18&gt;0,J18&gt;=I18),"완료",IF(G18="","미정",IF(TODAY()&lt;G18,"예정",IF(AND(H18&lt;&gt;"",TODAY()&gt;H18),"미달 종료","진행중")))))</f>
        <v/>
      </c>
      <c r="N18" s="30" t="n"/>
    </row>
    <row r="19">
      <c r="B19" s="22" t="n">
        <v>15</v>
      </c>
      <c r="C19" s="29" t="inlineStr">
        <is>
          <t>카카오광고</t>
        </is>
      </c>
      <c r="D19" s="30" t="inlineStr"/>
      <c r="E19" s="29" t="inlineStr"/>
      <c r="F19" s="29" t="n"/>
      <c r="G19" s="31" t="n"/>
      <c r="H19" s="31" t="n"/>
      <c r="I19" s="25" t="n"/>
      <c r="J19" s="25" t="n"/>
      <c r="K19" s="13">
        <f>IF(OR(I19="",I19=0),"",J19/I19)</f>
        <v/>
      </c>
      <c r="L19" s="25" t="n"/>
      <c r="M19" s="22">
        <f>IF(C19="","",IF(AND(I19&gt;0,J19&gt;=I19),"완료",IF(G19="","미정",IF(TODAY()&lt;G19,"예정",IF(AND(H19&lt;&gt;"",TODAY()&gt;H19),"미달 종료","진행중")))))</f>
        <v/>
      </c>
      <c r="N19" s="30" t="n"/>
    </row>
    <row r="20">
      <c r="B20" s="22" t="n">
        <v>16</v>
      </c>
      <c r="C20" s="29" t="inlineStr">
        <is>
          <t>네이버파워링크</t>
        </is>
      </c>
      <c r="D20" s="30" t="inlineStr"/>
      <c r="E20" s="29" t="inlineStr"/>
      <c r="F20" s="29" t="n"/>
      <c r="G20" s="31" t="n"/>
      <c r="H20" s="31" t="n"/>
      <c r="I20" s="25" t="n"/>
      <c r="J20" s="25" t="n"/>
      <c r="K20" s="13">
        <f>IF(OR(I20="",I20=0),"",J20/I20)</f>
        <v/>
      </c>
      <c r="L20" s="25" t="n"/>
      <c r="M20" s="22">
        <f>IF(C20="","",IF(AND(I20&gt;0,J20&gt;=I20),"완료",IF(G20="","미정",IF(TODAY()&lt;G20,"예정",IF(AND(H20&lt;&gt;"",TODAY()&gt;H20),"미달 종료","진행중")))))</f>
        <v/>
      </c>
      <c r="N20" s="30" t="n"/>
    </row>
    <row r="21">
      <c r="B21" s="22" t="n">
        <v>17</v>
      </c>
      <c r="C21" s="29" t="n"/>
      <c r="D21" s="30" t="n"/>
      <c r="E21" s="29" t="n"/>
      <c r="F21" s="29" t="n"/>
      <c r="G21" s="31" t="n"/>
      <c r="H21" s="31" t="n"/>
      <c r="I21" s="25" t="n"/>
      <c r="J21" s="25" t="n"/>
      <c r="K21" s="13">
        <f>IF(OR(I21="",I21=0),"",J21/I21)</f>
        <v/>
      </c>
      <c r="L21" s="25" t="n"/>
      <c r="M21" s="22">
        <f>IF(C21="","",IF(AND(I21&gt;0,J21&gt;=I21),"완료",IF(G21="","미정",IF(TODAY()&lt;G21,"예정",IF(AND(H21&lt;&gt;"",TODAY()&gt;H21),"미달 종료","진행중")))))</f>
        <v/>
      </c>
      <c r="N21" s="30" t="n"/>
    </row>
    <row r="22">
      <c r="B22" s="22" t="n">
        <v>18</v>
      </c>
      <c r="C22" s="29" t="n"/>
      <c r="D22" s="30" t="n"/>
      <c r="E22" s="29" t="n"/>
      <c r="F22" s="29" t="n"/>
      <c r="G22" s="31" t="n"/>
      <c r="H22" s="31" t="n"/>
      <c r="I22" s="25" t="n"/>
      <c r="J22" s="25" t="n"/>
      <c r="K22" s="13">
        <f>IF(OR(I22="",I22=0),"",J22/I22)</f>
        <v/>
      </c>
      <c r="L22" s="25" t="n"/>
      <c r="M22" s="22">
        <f>IF(C22="","",IF(AND(I22&gt;0,J22&gt;=I22),"완료",IF(G22="","미정",IF(TODAY()&lt;G22,"예정",IF(AND(H22&lt;&gt;"",TODAY()&gt;H22),"미달 종료","진행중")))))</f>
        <v/>
      </c>
      <c r="N22" s="30" t="n"/>
    </row>
    <row r="23">
      <c r="B23" s="22" t="n">
        <v>19</v>
      </c>
      <c r="C23" s="29" t="n"/>
      <c r="D23" s="30" t="n"/>
      <c r="E23" s="29" t="n"/>
      <c r="F23" s="29" t="n"/>
      <c r="G23" s="31" t="n"/>
      <c r="H23" s="31" t="n"/>
      <c r="I23" s="25" t="n"/>
      <c r="J23" s="25" t="n"/>
      <c r="K23" s="13">
        <f>IF(OR(I23="",I23=0),"",J23/I23)</f>
        <v/>
      </c>
      <c r="L23" s="25" t="n"/>
      <c r="M23" s="22">
        <f>IF(C23="","",IF(AND(I23&gt;0,J23&gt;=I23),"완료",IF(G23="","미정",IF(TODAY()&lt;G23,"예정",IF(AND(H23&lt;&gt;"",TODAY()&gt;H23),"미달 종료","진행중")))))</f>
        <v/>
      </c>
      <c r="N23" s="30" t="n"/>
    </row>
    <row r="24">
      <c r="B24" s="22" t="n">
        <v>20</v>
      </c>
      <c r="C24" s="29" t="n"/>
      <c r="D24" s="30" t="n"/>
      <c r="E24" s="29" t="n"/>
      <c r="F24" s="29" t="n"/>
      <c r="G24" s="31" t="n"/>
      <c r="H24" s="31" t="n"/>
      <c r="I24" s="25" t="n"/>
      <c r="J24" s="25" t="n"/>
      <c r="K24" s="13">
        <f>IF(OR(I24="",I24=0),"",J24/I24)</f>
        <v/>
      </c>
      <c r="L24" s="25" t="n"/>
      <c r="M24" s="22">
        <f>IF(C24="","",IF(AND(I24&gt;0,J24&gt;=I24),"완료",IF(G24="","미정",IF(TODAY()&lt;G24,"예정",IF(AND(H24&lt;&gt;"",TODAY()&gt;H24),"미달 종료","진행중")))))</f>
        <v/>
      </c>
      <c r="N24" s="30" t="n"/>
    </row>
    <row r="25">
      <c r="B25" s="22" t="n">
        <v>21</v>
      </c>
      <c r="C25" s="29" t="n"/>
      <c r="D25" s="30" t="n"/>
      <c r="E25" s="29" t="n"/>
      <c r="F25" s="29" t="n"/>
      <c r="G25" s="31" t="n"/>
      <c r="H25" s="31" t="n"/>
      <c r="I25" s="25" t="n"/>
      <c r="J25" s="25" t="n"/>
      <c r="K25" s="13">
        <f>IF(OR(I25="",I25=0),"",J25/I25)</f>
        <v/>
      </c>
      <c r="L25" s="25" t="n"/>
      <c r="M25" s="22">
        <f>IF(C25="","",IF(AND(I25&gt;0,J25&gt;=I25),"완료",IF(G25="","미정",IF(TODAY()&lt;G25,"예정",IF(AND(H25&lt;&gt;"",TODAY()&gt;H25),"미달 종료","진행중")))))</f>
        <v/>
      </c>
      <c r="N25" s="30" t="n"/>
    </row>
    <row r="26">
      <c r="B26" s="22" t="n">
        <v>22</v>
      </c>
      <c r="C26" s="29" t="n"/>
      <c r="D26" s="30" t="n"/>
      <c r="E26" s="29" t="n"/>
      <c r="F26" s="29" t="n"/>
      <c r="G26" s="31" t="n"/>
      <c r="H26" s="31" t="n"/>
      <c r="I26" s="25" t="n"/>
      <c r="J26" s="25" t="n"/>
      <c r="K26" s="13">
        <f>IF(OR(I26="",I26=0),"",J26/I26)</f>
        <v/>
      </c>
      <c r="L26" s="25" t="n"/>
      <c r="M26" s="22">
        <f>IF(C26="","",IF(AND(I26&gt;0,J26&gt;=I26),"완료",IF(G26="","미정",IF(TODAY()&lt;G26,"예정",IF(AND(H26&lt;&gt;"",TODAY()&gt;H26),"미달 종료","진행중")))))</f>
        <v/>
      </c>
      <c r="N26" s="30" t="n"/>
    </row>
    <row r="27">
      <c r="B27" s="22" t="n">
        <v>23</v>
      </c>
      <c r="C27" s="29" t="n"/>
      <c r="D27" s="30" t="n"/>
      <c r="E27" s="29" t="n"/>
      <c r="F27" s="29" t="n"/>
      <c r="G27" s="31" t="n"/>
      <c r="H27" s="31" t="n"/>
      <c r="I27" s="25" t="n"/>
      <c r="J27" s="25" t="n"/>
      <c r="K27" s="13">
        <f>IF(OR(I27="",I27=0),"",J27/I27)</f>
        <v/>
      </c>
      <c r="L27" s="25" t="n"/>
      <c r="M27" s="22">
        <f>IF(C27="","",IF(AND(I27&gt;0,J27&gt;=I27),"완료",IF(G27="","미정",IF(TODAY()&lt;G27,"예정",IF(AND(H27&lt;&gt;"",TODAY()&gt;H27),"미달 종료","진행중")))))</f>
        <v/>
      </c>
      <c r="N27" s="30" t="n"/>
    </row>
    <row r="28">
      <c r="B28" s="22" t="n">
        <v>24</v>
      </c>
      <c r="C28" s="29" t="n"/>
      <c r="D28" s="30" t="n"/>
      <c r="E28" s="29" t="n"/>
      <c r="F28" s="29" t="n"/>
      <c r="G28" s="31" t="n"/>
      <c r="H28" s="31" t="n"/>
      <c r="I28" s="25" t="n"/>
      <c r="J28" s="25" t="n"/>
      <c r="K28" s="13">
        <f>IF(OR(I28="",I28=0),"",J28/I28)</f>
        <v/>
      </c>
      <c r="L28" s="25" t="n"/>
      <c r="M28" s="22">
        <f>IF(C28="","",IF(AND(I28&gt;0,J28&gt;=I28),"완료",IF(G28="","미정",IF(TODAY()&lt;G28,"예정",IF(AND(H28&lt;&gt;"",TODAY()&gt;H28),"미달 종료","진행중")))))</f>
        <v/>
      </c>
      <c r="N28" s="30" t="n"/>
    </row>
    <row r="29">
      <c r="B29" s="22" t="n">
        <v>25</v>
      </c>
      <c r="C29" s="29" t="n"/>
      <c r="D29" s="30" t="n"/>
      <c r="E29" s="29" t="n"/>
      <c r="F29" s="29" t="n"/>
      <c r="G29" s="31" t="n"/>
      <c r="H29" s="31" t="n"/>
      <c r="I29" s="25" t="n"/>
      <c r="J29" s="25" t="n"/>
      <c r="K29" s="13">
        <f>IF(OR(I29="",I29=0),"",J29/I29)</f>
        <v/>
      </c>
      <c r="L29" s="25" t="n"/>
      <c r="M29" s="22">
        <f>IF(C29="","",IF(AND(I29&gt;0,J29&gt;=I29),"완료",IF(G29="","미정",IF(TODAY()&lt;G29,"예정",IF(AND(H29&lt;&gt;"",TODAY()&gt;H29),"미달 종료","진행중")))))</f>
        <v/>
      </c>
      <c r="N29" s="30" t="n"/>
    </row>
    <row r="30">
      <c r="B30" s="22" t="n">
        <v>26</v>
      </c>
      <c r="C30" s="29" t="n"/>
      <c r="D30" s="30" t="n"/>
      <c r="E30" s="29" t="n"/>
      <c r="F30" s="29" t="n"/>
      <c r="G30" s="31" t="n"/>
      <c r="H30" s="31" t="n"/>
      <c r="I30" s="25" t="n"/>
      <c r="J30" s="25" t="n"/>
      <c r="K30" s="13">
        <f>IF(OR(I30="",I30=0),"",J30/I30)</f>
        <v/>
      </c>
      <c r="L30" s="25" t="n"/>
      <c r="M30" s="22">
        <f>IF(C30="","",IF(AND(I30&gt;0,J30&gt;=I30),"완료",IF(G30="","미정",IF(TODAY()&lt;G30,"예정",IF(AND(H30&lt;&gt;"",TODAY()&gt;H30),"미달 종료","진행중")))))</f>
        <v/>
      </c>
      <c r="N30" s="30" t="n"/>
    </row>
    <row r="31">
      <c r="B31" s="22" t="n">
        <v>27</v>
      </c>
      <c r="C31" s="29" t="n"/>
      <c r="D31" s="30" t="n"/>
      <c r="E31" s="29" t="n"/>
      <c r="F31" s="29" t="n"/>
      <c r="G31" s="31" t="n"/>
      <c r="H31" s="31" t="n"/>
      <c r="I31" s="25" t="n"/>
      <c r="J31" s="25" t="n"/>
      <c r="K31" s="13">
        <f>IF(OR(I31="",I31=0),"",J31/I31)</f>
        <v/>
      </c>
      <c r="L31" s="25" t="n"/>
      <c r="M31" s="22">
        <f>IF(C31="","",IF(AND(I31&gt;0,J31&gt;=I31),"완료",IF(G31="","미정",IF(TODAY()&lt;G31,"예정",IF(AND(H31&lt;&gt;"",TODAY()&gt;H31),"미달 종료","진행중")))))</f>
        <v/>
      </c>
      <c r="N31" s="30" t="n"/>
    </row>
    <row r="32">
      <c r="B32" s="22" t="n">
        <v>28</v>
      </c>
      <c r="C32" s="29" t="n"/>
      <c r="D32" s="30" t="n"/>
      <c r="E32" s="29" t="n"/>
      <c r="F32" s="29" t="n"/>
      <c r="G32" s="31" t="n"/>
      <c r="H32" s="31" t="n"/>
      <c r="I32" s="25" t="n"/>
      <c r="J32" s="25" t="n"/>
      <c r="K32" s="13">
        <f>IF(OR(I32="",I32=0),"",J32/I32)</f>
        <v/>
      </c>
      <c r="L32" s="25" t="n"/>
      <c r="M32" s="22">
        <f>IF(C32="","",IF(AND(I32&gt;0,J32&gt;=I32),"완료",IF(G32="","미정",IF(TODAY()&lt;G32,"예정",IF(AND(H32&lt;&gt;"",TODAY()&gt;H32),"미달 종료","진행중")))))</f>
        <v/>
      </c>
      <c r="N32" s="30" t="n"/>
    </row>
    <row r="33">
      <c r="B33" s="22" t="n">
        <v>29</v>
      </c>
      <c r="C33" s="29" t="n"/>
      <c r="D33" s="30" t="n"/>
      <c r="E33" s="29" t="n"/>
      <c r="F33" s="29" t="n"/>
      <c r="G33" s="31" t="n"/>
      <c r="H33" s="31" t="n"/>
      <c r="I33" s="25" t="n"/>
      <c r="J33" s="25" t="n"/>
      <c r="K33" s="13">
        <f>IF(OR(I33="",I33=0),"",J33/I33)</f>
        <v/>
      </c>
      <c r="L33" s="25" t="n"/>
      <c r="M33" s="22">
        <f>IF(C33="","",IF(AND(I33&gt;0,J33&gt;=I33),"완료",IF(G33="","미정",IF(TODAY()&lt;G33,"예정",IF(AND(H33&lt;&gt;"",TODAY()&gt;H33),"미달 종료","진행중")))))</f>
        <v/>
      </c>
      <c r="N33" s="30" t="n"/>
    </row>
    <row r="34">
      <c r="B34" s="22" t="n">
        <v>30</v>
      </c>
      <c r="C34" s="29" t="n"/>
      <c r="D34" s="30" t="n"/>
      <c r="E34" s="29" t="n"/>
      <c r="F34" s="29" t="n"/>
      <c r="G34" s="31" t="n"/>
      <c r="H34" s="31" t="n"/>
      <c r="I34" s="25" t="n"/>
      <c r="J34" s="25" t="n"/>
      <c r="K34" s="13">
        <f>IF(OR(I34="",I34=0),"",J34/I34)</f>
        <v/>
      </c>
      <c r="L34" s="25" t="n"/>
      <c r="M34" s="22">
        <f>IF(C34="","",IF(AND(I34&gt;0,J34&gt;=I34),"완료",IF(G34="","미정",IF(TODAY()&lt;G34,"예정",IF(AND(H34&lt;&gt;"",TODAY()&gt;H34),"미달 종료","진행중")))))</f>
        <v/>
      </c>
      <c r="N34" s="30" t="n"/>
    </row>
    <row r="35">
      <c r="B35" s="22" t="n">
        <v>31</v>
      </c>
      <c r="C35" s="29" t="n"/>
      <c r="D35" s="30" t="n"/>
      <c r="E35" s="29" t="n"/>
      <c r="F35" s="29" t="n"/>
      <c r="G35" s="31" t="n"/>
      <c r="H35" s="31" t="n"/>
      <c r="I35" s="25" t="n"/>
      <c r="J35" s="25" t="n"/>
      <c r="K35" s="13">
        <f>IF(OR(I35="",I35=0),"",J35/I35)</f>
        <v/>
      </c>
      <c r="L35" s="25" t="n"/>
      <c r="M35" s="22">
        <f>IF(C35="","",IF(AND(I35&gt;0,J35&gt;=I35),"완료",IF(G35="","미정",IF(TODAY()&lt;G35,"예정",IF(AND(H35&lt;&gt;"",TODAY()&gt;H35),"미달 종료","진행중")))))</f>
        <v/>
      </c>
      <c r="N35" s="30" t="n"/>
    </row>
    <row r="36">
      <c r="B36" s="22" t="n">
        <v>32</v>
      </c>
      <c r="C36" s="29" t="n"/>
      <c r="D36" s="30" t="n"/>
      <c r="E36" s="29" t="n"/>
      <c r="F36" s="29" t="n"/>
      <c r="G36" s="31" t="n"/>
      <c r="H36" s="31" t="n"/>
      <c r="I36" s="25" t="n"/>
      <c r="J36" s="25" t="n"/>
      <c r="K36" s="13">
        <f>IF(OR(I36="",I36=0),"",J36/I36)</f>
        <v/>
      </c>
      <c r="L36" s="25" t="n"/>
      <c r="M36" s="22">
        <f>IF(C36="","",IF(AND(I36&gt;0,J36&gt;=I36),"완료",IF(G36="","미정",IF(TODAY()&lt;G36,"예정",IF(AND(H36&lt;&gt;"",TODAY()&gt;H36),"미달 종료","진행중")))))</f>
        <v/>
      </c>
      <c r="N36" s="30" t="n"/>
    </row>
    <row r="37">
      <c r="B37" s="22" t="n">
        <v>33</v>
      </c>
      <c r="C37" s="29" t="n"/>
      <c r="D37" s="30" t="n"/>
      <c r="E37" s="29" t="n"/>
      <c r="F37" s="29" t="n"/>
      <c r="G37" s="31" t="n"/>
      <c r="H37" s="31" t="n"/>
      <c r="I37" s="25" t="n"/>
      <c r="J37" s="25" t="n"/>
      <c r="K37" s="13">
        <f>IF(OR(I37="",I37=0),"",J37/I37)</f>
        <v/>
      </c>
      <c r="L37" s="25" t="n"/>
      <c r="M37" s="22">
        <f>IF(C37="","",IF(AND(I37&gt;0,J37&gt;=I37),"완료",IF(G37="","미정",IF(TODAY()&lt;G37,"예정",IF(AND(H37&lt;&gt;"",TODAY()&gt;H37),"미달 종료","진행중")))))</f>
        <v/>
      </c>
      <c r="N37" s="30" t="n"/>
    </row>
    <row r="38">
      <c r="B38" s="22" t="n">
        <v>34</v>
      </c>
      <c r="C38" s="29" t="n"/>
      <c r="D38" s="30" t="n"/>
      <c r="E38" s="29" t="n"/>
      <c r="F38" s="29" t="n"/>
      <c r="G38" s="31" t="n"/>
      <c r="H38" s="31" t="n"/>
      <c r="I38" s="25" t="n"/>
      <c r="J38" s="25" t="n"/>
      <c r="K38" s="13">
        <f>IF(OR(I38="",I38=0),"",J38/I38)</f>
        <v/>
      </c>
      <c r="L38" s="25" t="n"/>
      <c r="M38" s="22">
        <f>IF(C38="","",IF(AND(I38&gt;0,J38&gt;=I38),"완료",IF(G38="","미정",IF(TODAY()&lt;G38,"예정",IF(AND(H38&lt;&gt;"",TODAY()&gt;H38),"미달 종료","진행중")))))</f>
        <v/>
      </c>
      <c r="N38" s="30" t="n"/>
    </row>
    <row r="39">
      <c r="B39" s="22" t="n">
        <v>35</v>
      </c>
      <c r="C39" s="29" t="n"/>
      <c r="D39" s="30" t="n"/>
      <c r="E39" s="29" t="n"/>
      <c r="F39" s="29" t="n"/>
      <c r="G39" s="31" t="n"/>
      <c r="H39" s="31" t="n"/>
      <c r="I39" s="25" t="n"/>
      <c r="J39" s="25" t="n"/>
      <c r="K39" s="13">
        <f>IF(OR(I39="",I39=0),"",J39/I39)</f>
        <v/>
      </c>
      <c r="L39" s="25" t="n"/>
      <c r="M39" s="22">
        <f>IF(C39="","",IF(AND(I39&gt;0,J39&gt;=I39),"완료",IF(G39="","미정",IF(TODAY()&lt;G39,"예정",IF(AND(H39&lt;&gt;"",TODAY()&gt;H39),"미달 종료","진행중")))))</f>
        <v/>
      </c>
      <c r="N39" s="30" t="n"/>
    </row>
    <row r="40">
      <c r="B40" s="22" t="n">
        <v>36</v>
      </c>
      <c r="C40" s="29" t="n"/>
      <c r="D40" s="30" t="n"/>
      <c r="E40" s="29" t="n"/>
      <c r="F40" s="29" t="n"/>
      <c r="G40" s="31" t="n"/>
      <c r="H40" s="31" t="n"/>
      <c r="I40" s="25" t="n"/>
      <c r="J40" s="25" t="n"/>
      <c r="K40" s="13">
        <f>IF(OR(I40="",I40=0),"",J40/I40)</f>
        <v/>
      </c>
      <c r="L40" s="25" t="n"/>
      <c r="M40" s="22">
        <f>IF(C40="","",IF(AND(I40&gt;0,J40&gt;=I40),"완료",IF(G40="","미정",IF(TODAY()&lt;G40,"예정",IF(AND(H40&lt;&gt;"",TODAY()&gt;H40),"미달 종료","진행중")))))</f>
        <v/>
      </c>
      <c r="N40" s="30" t="n"/>
    </row>
    <row r="41">
      <c r="B41" s="22" t="n">
        <v>37</v>
      </c>
      <c r="C41" s="29" t="n"/>
      <c r="D41" s="30" t="n"/>
      <c r="E41" s="29" t="n"/>
      <c r="F41" s="29" t="n"/>
      <c r="G41" s="31" t="n"/>
      <c r="H41" s="31" t="n"/>
      <c r="I41" s="25" t="n"/>
      <c r="J41" s="25" t="n"/>
      <c r="K41" s="13">
        <f>IF(OR(I41="",I41=0),"",J41/I41)</f>
        <v/>
      </c>
      <c r="L41" s="25" t="n"/>
      <c r="M41" s="22">
        <f>IF(C41="","",IF(AND(I41&gt;0,J41&gt;=I41),"완료",IF(G41="","미정",IF(TODAY()&lt;G41,"예정",IF(AND(H41&lt;&gt;"",TODAY()&gt;H41),"미달 종료","진행중")))))</f>
        <v/>
      </c>
      <c r="N41" s="30" t="n"/>
    </row>
    <row r="42">
      <c r="B42" s="22" t="n">
        <v>38</v>
      </c>
      <c r="C42" s="29" t="n"/>
      <c r="D42" s="30" t="n"/>
      <c r="E42" s="29" t="n"/>
      <c r="F42" s="29" t="n"/>
      <c r="G42" s="31" t="n"/>
      <c r="H42" s="31" t="n"/>
      <c r="I42" s="25" t="n"/>
      <c r="J42" s="25" t="n"/>
      <c r="K42" s="13">
        <f>IF(OR(I42="",I42=0),"",J42/I42)</f>
        <v/>
      </c>
      <c r="L42" s="25" t="n"/>
      <c r="M42" s="22">
        <f>IF(C42="","",IF(AND(I42&gt;0,J42&gt;=I42),"완료",IF(G42="","미정",IF(TODAY()&lt;G42,"예정",IF(AND(H42&lt;&gt;"",TODAY()&gt;H42),"미달 종료","진행중")))))</f>
        <v/>
      </c>
      <c r="N42" s="30" t="n"/>
    </row>
    <row r="43">
      <c r="B43" s="22" t="n">
        <v>39</v>
      </c>
      <c r="C43" s="29" t="n"/>
      <c r="D43" s="30" t="n"/>
      <c r="E43" s="29" t="n"/>
      <c r="F43" s="29" t="n"/>
      <c r="G43" s="31" t="n"/>
      <c r="H43" s="31" t="n"/>
      <c r="I43" s="25" t="n"/>
      <c r="J43" s="25" t="n"/>
      <c r="K43" s="13">
        <f>IF(OR(I43="",I43=0),"",J43/I43)</f>
        <v/>
      </c>
      <c r="L43" s="25" t="n"/>
      <c r="M43" s="22">
        <f>IF(C43="","",IF(AND(I43&gt;0,J43&gt;=I43),"완료",IF(G43="","미정",IF(TODAY()&lt;G43,"예정",IF(AND(H43&lt;&gt;"",TODAY()&gt;H43),"미달 종료","진행중")))))</f>
        <v/>
      </c>
      <c r="N43" s="30" t="n"/>
    </row>
    <row r="44">
      <c r="B44" s="22" t="n">
        <v>40</v>
      </c>
      <c r="C44" s="29" t="n"/>
      <c r="D44" s="30" t="n"/>
      <c r="E44" s="29" t="n"/>
      <c r="F44" s="29" t="n"/>
      <c r="G44" s="31" t="n"/>
      <c r="H44" s="31" t="n"/>
      <c r="I44" s="25" t="n"/>
      <c r="J44" s="25" t="n"/>
      <c r="K44" s="13">
        <f>IF(OR(I44="",I44=0),"",J44/I44)</f>
        <v/>
      </c>
      <c r="L44" s="25" t="n"/>
      <c r="M44" s="22">
        <f>IF(C44="","",IF(AND(I44&gt;0,J44&gt;=I44),"완료",IF(G44="","미정",IF(TODAY()&lt;G44,"예정",IF(AND(H44&lt;&gt;"",TODAY()&gt;H44),"미달 종료","진행중")))))</f>
        <v/>
      </c>
      <c r="N44" s="30" t="n"/>
    </row>
    <row r="45">
      <c r="B45" s="22" t="n">
        <v>41</v>
      </c>
      <c r="C45" s="29" t="n"/>
      <c r="D45" s="30" t="n"/>
      <c r="E45" s="29" t="n"/>
      <c r="F45" s="29" t="n"/>
      <c r="G45" s="31" t="n"/>
      <c r="H45" s="31" t="n"/>
      <c r="I45" s="25" t="n"/>
      <c r="J45" s="25" t="n"/>
      <c r="K45" s="13">
        <f>IF(OR(I45="",I45=0),"",J45/I45)</f>
        <v/>
      </c>
      <c r="L45" s="25" t="n"/>
      <c r="M45" s="22">
        <f>IF(C45="","",IF(AND(I45&gt;0,J45&gt;=I45),"완료",IF(G45="","미정",IF(TODAY()&lt;G45,"예정",IF(AND(H45&lt;&gt;"",TODAY()&gt;H45),"미달 종료","진행중")))))</f>
        <v/>
      </c>
      <c r="N45" s="30" t="n"/>
    </row>
    <row r="46">
      <c r="B46" s="22" t="n">
        <v>42</v>
      </c>
      <c r="C46" s="29" t="n"/>
      <c r="D46" s="30" t="n"/>
      <c r="E46" s="29" t="n"/>
      <c r="F46" s="29" t="n"/>
      <c r="G46" s="31" t="n"/>
      <c r="H46" s="31" t="n"/>
      <c r="I46" s="25" t="n"/>
      <c r="J46" s="25" t="n"/>
      <c r="K46" s="13">
        <f>IF(OR(I46="",I46=0),"",J46/I46)</f>
        <v/>
      </c>
      <c r="L46" s="25" t="n"/>
      <c r="M46" s="22">
        <f>IF(C46="","",IF(AND(I46&gt;0,J46&gt;=I46),"완료",IF(G46="","미정",IF(TODAY()&lt;G46,"예정",IF(AND(H46&lt;&gt;"",TODAY()&gt;H46),"미달 종료","진행중")))))</f>
        <v/>
      </c>
      <c r="N46" s="30" t="n"/>
    </row>
    <row r="47">
      <c r="B47" s="22" t="n">
        <v>43</v>
      </c>
      <c r="C47" s="29" t="n"/>
      <c r="D47" s="30" t="n"/>
      <c r="E47" s="29" t="n"/>
      <c r="F47" s="29" t="n"/>
      <c r="G47" s="31" t="n"/>
      <c r="H47" s="31" t="n"/>
      <c r="I47" s="25" t="n"/>
      <c r="J47" s="25" t="n"/>
      <c r="K47" s="13">
        <f>IF(OR(I47="",I47=0),"",J47/I47)</f>
        <v/>
      </c>
      <c r="L47" s="25" t="n"/>
      <c r="M47" s="22">
        <f>IF(C47="","",IF(AND(I47&gt;0,J47&gt;=I47),"완료",IF(G47="","미정",IF(TODAY()&lt;G47,"예정",IF(AND(H47&lt;&gt;"",TODAY()&gt;H47),"미달 종료","진행중")))))</f>
        <v/>
      </c>
      <c r="N47" s="30" t="n"/>
    </row>
    <row r="48">
      <c r="B48" s="22" t="n">
        <v>44</v>
      </c>
      <c r="C48" s="29" t="n"/>
      <c r="D48" s="30" t="n"/>
      <c r="E48" s="29" t="n"/>
      <c r="F48" s="29" t="n"/>
      <c r="G48" s="31" t="n"/>
      <c r="H48" s="31" t="n"/>
      <c r="I48" s="25" t="n"/>
      <c r="J48" s="25" t="n"/>
      <c r="K48" s="13">
        <f>IF(OR(I48="",I48=0),"",J48/I48)</f>
        <v/>
      </c>
      <c r="L48" s="25" t="n"/>
      <c r="M48" s="22">
        <f>IF(C48="","",IF(AND(I48&gt;0,J48&gt;=I48),"완료",IF(G48="","미정",IF(TODAY()&lt;G48,"예정",IF(AND(H48&lt;&gt;"",TODAY()&gt;H48),"미달 종료","진행중")))))</f>
        <v/>
      </c>
      <c r="N48" s="30" t="n"/>
    </row>
    <row r="49">
      <c r="B49" s="22" t="n">
        <v>45</v>
      </c>
      <c r="C49" s="29" t="n"/>
      <c r="D49" s="30" t="n"/>
      <c r="E49" s="29" t="n"/>
      <c r="F49" s="29" t="n"/>
      <c r="G49" s="31" t="n"/>
      <c r="H49" s="31" t="n"/>
      <c r="I49" s="25" t="n"/>
      <c r="J49" s="25" t="n"/>
      <c r="K49" s="13">
        <f>IF(OR(I49="",I49=0),"",J49/I49)</f>
        <v/>
      </c>
      <c r="L49" s="25" t="n"/>
      <c r="M49" s="22">
        <f>IF(C49="","",IF(AND(I49&gt;0,J49&gt;=I49),"완료",IF(G49="","미정",IF(TODAY()&lt;G49,"예정",IF(AND(H49&lt;&gt;"",TODAY()&gt;H49),"미달 종료","진행중")))))</f>
        <v/>
      </c>
      <c r="N49" s="30" t="n"/>
    </row>
    <row r="50">
      <c r="B50" s="22" t="n">
        <v>46</v>
      </c>
      <c r="C50" s="29" t="n"/>
      <c r="D50" s="30" t="n"/>
      <c r="E50" s="29" t="n"/>
      <c r="F50" s="29" t="n"/>
      <c r="G50" s="31" t="n"/>
      <c r="H50" s="31" t="n"/>
      <c r="I50" s="25" t="n"/>
      <c r="J50" s="25" t="n"/>
      <c r="K50" s="13">
        <f>IF(OR(I50="",I50=0),"",J50/I50)</f>
        <v/>
      </c>
      <c r="L50" s="25" t="n"/>
      <c r="M50" s="22">
        <f>IF(C50="","",IF(AND(I50&gt;0,J50&gt;=I50),"완료",IF(G50="","미정",IF(TODAY()&lt;G50,"예정",IF(AND(H50&lt;&gt;"",TODAY()&gt;H50),"미달 종료","진행중")))))</f>
        <v/>
      </c>
      <c r="N50" s="30" t="n"/>
    </row>
    <row r="51">
      <c r="B51" s="22" t="n">
        <v>47</v>
      </c>
      <c r="C51" s="29" t="n"/>
      <c r="D51" s="30" t="n"/>
      <c r="E51" s="29" t="n"/>
      <c r="F51" s="29" t="n"/>
      <c r="G51" s="31" t="n"/>
      <c r="H51" s="31" t="n"/>
      <c r="I51" s="25" t="n"/>
      <c r="J51" s="25" t="n"/>
      <c r="K51" s="13">
        <f>IF(OR(I51="",I51=0),"",J51/I51)</f>
        <v/>
      </c>
      <c r="L51" s="25" t="n"/>
      <c r="M51" s="22">
        <f>IF(C51="","",IF(AND(I51&gt;0,J51&gt;=I51),"완료",IF(G51="","미정",IF(TODAY()&lt;G51,"예정",IF(AND(H51&lt;&gt;"",TODAY()&gt;H51),"미달 종료","진행중")))))</f>
        <v/>
      </c>
      <c r="N51" s="30" t="n"/>
    </row>
    <row r="52">
      <c r="B52" s="22" t="n">
        <v>48</v>
      </c>
      <c r="C52" s="29" t="n"/>
      <c r="D52" s="30" t="n"/>
      <c r="E52" s="29" t="n"/>
      <c r="F52" s="29" t="n"/>
      <c r="G52" s="31" t="n"/>
      <c r="H52" s="31" t="n"/>
      <c r="I52" s="25" t="n"/>
      <c r="J52" s="25" t="n"/>
      <c r="K52" s="13">
        <f>IF(OR(I52="",I52=0),"",J52/I52)</f>
        <v/>
      </c>
      <c r="L52" s="25" t="n"/>
      <c r="M52" s="22">
        <f>IF(C52="","",IF(AND(I52&gt;0,J52&gt;=I52),"완료",IF(G52="","미정",IF(TODAY()&lt;G52,"예정",IF(AND(H52&lt;&gt;"",TODAY()&gt;H52),"미달 종료","진행중")))))</f>
        <v/>
      </c>
      <c r="N52" s="30" t="n"/>
    </row>
    <row r="53">
      <c r="B53" s="22" t="n">
        <v>49</v>
      </c>
      <c r="C53" s="29" t="n"/>
      <c r="D53" s="30" t="n"/>
      <c r="E53" s="29" t="n"/>
      <c r="F53" s="29" t="n"/>
      <c r="G53" s="31" t="n"/>
      <c r="H53" s="31" t="n"/>
      <c r="I53" s="25" t="n"/>
      <c r="J53" s="25" t="n"/>
      <c r="K53" s="13">
        <f>IF(OR(I53="",I53=0),"",J53/I53)</f>
        <v/>
      </c>
      <c r="L53" s="25" t="n"/>
      <c r="M53" s="22">
        <f>IF(C53="","",IF(AND(I53&gt;0,J53&gt;=I53),"완료",IF(G53="","미정",IF(TODAY()&lt;G53,"예정",IF(AND(H53&lt;&gt;"",TODAY()&gt;H53),"미달 종료","진행중")))))</f>
        <v/>
      </c>
      <c r="N53" s="30" t="n"/>
    </row>
    <row r="54">
      <c r="B54" s="22" t="n">
        <v>50</v>
      </c>
      <c r="C54" s="29" t="n"/>
      <c r="D54" s="30" t="n"/>
      <c r="E54" s="29" t="n"/>
      <c r="F54" s="29" t="n"/>
      <c r="G54" s="31" t="n"/>
      <c r="H54" s="31" t="n"/>
      <c r="I54" s="25" t="n"/>
      <c r="J54" s="25" t="n"/>
      <c r="K54" s="13">
        <f>IF(OR(I54="",I54=0),"",J54/I54)</f>
        <v/>
      </c>
      <c r="L54" s="25" t="n"/>
      <c r="M54" s="22">
        <f>IF(C54="","",IF(AND(I54&gt;0,J54&gt;=I54),"완료",IF(G54="","미정",IF(TODAY()&lt;G54,"예정",IF(AND(H54&lt;&gt;"",TODAY()&gt;H54),"미달 종료","진행중")))))</f>
        <v/>
      </c>
      <c r="N54" s="30" t="n"/>
    </row>
    <row r="55">
      <c r="B55" s="22" t="n">
        <v>51</v>
      </c>
      <c r="C55" s="29" t="n"/>
      <c r="D55" s="30" t="n"/>
      <c r="E55" s="29" t="n"/>
      <c r="F55" s="29" t="n"/>
      <c r="G55" s="31" t="n"/>
      <c r="H55" s="31" t="n"/>
      <c r="I55" s="25" t="n"/>
      <c r="J55" s="25" t="n"/>
      <c r="K55" s="13">
        <f>IF(OR(I55="",I55=0),"",J55/I55)</f>
        <v/>
      </c>
      <c r="L55" s="25" t="n"/>
      <c r="M55" s="22">
        <f>IF(C55="","",IF(AND(I55&gt;0,J55&gt;=I55),"완료",IF(G55="","미정",IF(TODAY()&lt;G55,"예정",IF(AND(H55&lt;&gt;"",TODAY()&gt;H55),"미달 종료","진행중")))))</f>
        <v/>
      </c>
      <c r="N55" s="30" t="n"/>
    </row>
    <row r="56">
      <c r="B56" s="22" t="n">
        <v>52</v>
      </c>
      <c r="C56" s="29" t="n"/>
      <c r="D56" s="30" t="n"/>
      <c r="E56" s="29" t="n"/>
      <c r="F56" s="29" t="n"/>
      <c r="G56" s="31" t="n"/>
      <c r="H56" s="31" t="n"/>
      <c r="I56" s="25" t="n"/>
      <c r="J56" s="25" t="n"/>
      <c r="K56" s="13">
        <f>IF(OR(I56="",I56=0),"",J56/I56)</f>
        <v/>
      </c>
      <c r="L56" s="25" t="n"/>
      <c r="M56" s="22">
        <f>IF(C56="","",IF(AND(I56&gt;0,J56&gt;=I56),"완료",IF(G56="","미정",IF(TODAY()&lt;G56,"예정",IF(AND(H56&lt;&gt;"",TODAY()&gt;H56),"미달 종료","진행중")))))</f>
        <v/>
      </c>
      <c r="N56" s="30" t="n"/>
    </row>
    <row r="57">
      <c r="B57" s="22" t="n">
        <v>53</v>
      </c>
      <c r="C57" s="29" t="n"/>
      <c r="D57" s="30" t="n"/>
      <c r="E57" s="29" t="n"/>
      <c r="F57" s="29" t="n"/>
      <c r="G57" s="31" t="n"/>
      <c r="H57" s="31" t="n"/>
      <c r="I57" s="25" t="n"/>
      <c r="J57" s="25" t="n"/>
      <c r="K57" s="13">
        <f>IF(OR(I57="",I57=0),"",J57/I57)</f>
        <v/>
      </c>
      <c r="L57" s="25" t="n"/>
      <c r="M57" s="22">
        <f>IF(C57="","",IF(AND(I57&gt;0,J57&gt;=I57),"완료",IF(G57="","미정",IF(TODAY()&lt;G57,"예정",IF(AND(H57&lt;&gt;"",TODAY()&gt;H57),"미달 종료","진행중")))))</f>
        <v/>
      </c>
      <c r="N57" s="30" t="n"/>
    </row>
    <row r="58">
      <c r="B58" s="22" t="n">
        <v>54</v>
      </c>
      <c r="C58" s="29" t="n"/>
      <c r="D58" s="30" t="n"/>
      <c r="E58" s="29" t="n"/>
      <c r="F58" s="29" t="n"/>
      <c r="G58" s="31" t="n"/>
      <c r="H58" s="31" t="n"/>
      <c r="I58" s="25" t="n"/>
      <c r="J58" s="25" t="n"/>
      <c r="K58" s="13">
        <f>IF(OR(I58="",I58=0),"",J58/I58)</f>
        <v/>
      </c>
      <c r="L58" s="25" t="n"/>
      <c r="M58" s="22">
        <f>IF(C58="","",IF(AND(I58&gt;0,J58&gt;=I58),"완료",IF(G58="","미정",IF(TODAY()&lt;G58,"예정",IF(AND(H58&lt;&gt;"",TODAY()&gt;H58),"미달 종료","진행중")))))</f>
        <v/>
      </c>
      <c r="N58" s="30" t="n"/>
    </row>
    <row r="59">
      <c r="B59" s="22" t="n">
        <v>55</v>
      </c>
      <c r="C59" s="29" t="n"/>
      <c r="D59" s="30" t="n"/>
      <c r="E59" s="29" t="n"/>
      <c r="F59" s="29" t="n"/>
      <c r="G59" s="31" t="n"/>
      <c r="H59" s="31" t="n"/>
      <c r="I59" s="25" t="n"/>
      <c r="J59" s="25" t="n"/>
      <c r="K59" s="13">
        <f>IF(OR(I59="",I59=0),"",J59/I59)</f>
        <v/>
      </c>
      <c r="L59" s="25" t="n"/>
      <c r="M59" s="22">
        <f>IF(C59="","",IF(AND(I59&gt;0,J59&gt;=I59),"완료",IF(G59="","미정",IF(TODAY()&lt;G59,"예정",IF(AND(H59&lt;&gt;"",TODAY()&gt;H59),"미달 종료","진행중")))))</f>
        <v/>
      </c>
      <c r="N59" s="30" t="n"/>
    </row>
    <row r="60">
      <c r="B60" s="22" t="n">
        <v>56</v>
      </c>
      <c r="C60" s="29" t="n"/>
      <c r="D60" s="30" t="n"/>
      <c r="E60" s="29" t="n"/>
      <c r="F60" s="29" t="n"/>
      <c r="G60" s="31" t="n"/>
      <c r="H60" s="31" t="n"/>
      <c r="I60" s="25" t="n"/>
      <c r="J60" s="25" t="n"/>
      <c r="K60" s="13">
        <f>IF(OR(I60="",I60=0),"",J60/I60)</f>
        <v/>
      </c>
      <c r="L60" s="25" t="n"/>
      <c r="M60" s="22">
        <f>IF(C60="","",IF(AND(I60&gt;0,J60&gt;=I60),"완료",IF(G60="","미정",IF(TODAY()&lt;G60,"예정",IF(AND(H60&lt;&gt;"",TODAY()&gt;H60),"미달 종료","진행중")))))</f>
        <v/>
      </c>
      <c r="N60" s="30" t="n"/>
    </row>
    <row r="61">
      <c r="B61" s="22" t="n">
        <v>57</v>
      </c>
      <c r="C61" s="29" t="n"/>
      <c r="D61" s="30" t="n"/>
      <c r="E61" s="29" t="n"/>
      <c r="F61" s="29" t="n"/>
      <c r="G61" s="31" t="n"/>
      <c r="H61" s="31" t="n"/>
      <c r="I61" s="25" t="n"/>
      <c r="J61" s="25" t="n"/>
      <c r="K61" s="13">
        <f>IF(OR(I61="",I61=0),"",J61/I61)</f>
        <v/>
      </c>
      <c r="L61" s="25" t="n"/>
      <c r="M61" s="22">
        <f>IF(C61="","",IF(AND(I61&gt;0,J61&gt;=I61),"완료",IF(G61="","미정",IF(TODAY()&lt;G61,"예정",IF(AND(H61&lt;&gt;"",TODAY()&gt;H61),"미달 종료","진행중")))))</f>
        <v/>
      </c>
      <c r="N61" s="30" t="n"/>
    </row>
    <row r="62">
      <c r="B62" s="22" t="n">
        <v>58</v>
      </c>
      <c r="C62" s="29" t="n"/>
      <c r="D62" s="30" t="n"/>
      <c r="E62" s="29" t="n"/>
      <c r="F62" s="29" t="n"/>
      <c r="G62" s="31" t="n"/>
      <c r="H62" s="31" t="n"/>
      <c r="I62" s="25" t="n"/>
      <c r="J62" s="25" t="n"/>
      <c r="K62" s="13">
        <f>IF(OR(I62="",I62=0),"",J62/I62)</f>
        <v/>
      </c>
      <c r="L62" s="25" t="n"/>
      <c r="M62" s="22">
        <f>IF(C62="","",IF(AND(I62&gt;0,J62&gt;=I62),"완료",IF(G62="","미정",IF(TODAY()&lt;G62,"예정",IF(AND(H62&lt;&gt;"",TODAY()&gt;H62),"미달 종료","진행중")))))</f>
        <v/>
      </c>
      <c r="N62" s="30" t="n"/>
    </row>
    <row r="63">
      <c r="B63" s="22" t="n">
        <v>59</v>
      </c>
      <c r="C63" s="29" t="n"/>
      <c r="D63" s="30" t="n"/>
      <c r="E63" s="29" t="n"/>
      <c r="F63" s="29" t="n"/>
      <c r="G63" s="31" t="n"/>
      <c r="H63" s="31" t="n"/>
      <c r="I63" s="25" t="n"/>
      <c r="J63" s="25" t="n"/>
      <c r="K63" s="13">
        <f>IF(OR(I63="",I63=0),"",J63/I63)</f>
        <v/>
      </c>
      <c r="L63" s="25" t="n"/>
      <c r="M63" s="22">
        <f>IF(C63="","",IF(AND(I63&gt;0,J63&gt;=I63),"완료",IF(G63="","미정",IF(TODAY()&lt;G63,"예정",IF(AND(H63&lt;&gt;"",TODAY()&gt;H63),"미달 종료","진행중")))))</f>
        <v/>
      </c>
      <c r="N63" s="30" t="n"/>
    </row>
    <row r="64">
      <c r="B64" s="22" t="n">
        <v>60</v>
      </c>
      <c r="C64" s="29" t="n"/>
      <c r="D64" s="30" t="n"/>
      <c r="E64" s="29" t="n"/>
      <c r="F64" s="29" t="n"/>
      <c r="G64" s="31" t="n"/>
      <c r="H64" s="31" t="n"/>
      <c r="I64" s="25" t="n"/>
      <c r="J64" s="25" t="n"/>
      <c r="K64" s="13">
        <f>IF(OR(I64="",I64=0),"",J64/I64)</f>
        <v/>
      </c>
      <c r="L64" s="25" t="n"/>
      <c r="M64" s="22">
        <f>IF(C64="","",IF(AND(I64&gt;0,J64&gt;=I64),"완료",IF(G64="","미정",IF(TODAY()&lt;G64,"예정",IF(AND(H64&lt;&gt;"",TODAY()&gt;H64),"미달 종료","진행중")))))</f>
        <v/>
      </c>
      <c r="N64" s="30" t="n"/>
    </row>
    <row r="65">
      <c r="B65" s="17" t="inlineStr">
        <is>
          <t>합계</t>
        </is>
      </c>
      <c r="C65" s="17" t="n"/>
      <c r="D65" s="17" t="n"/>
      <c r="E65" s="17" t="n"/>
      <c r="F65" s="17" t="n"/>
      <c r="G65" s="17" t="n"/>
      <c r="H65" s="17" t="n"/>
      <c r="I65" s="17">
        <f>SUM(I5:I64)</f>
        <v/>
      </c>
      <c r="J65" s="17">
        <f>SUM(J5:J64)</f>
        <v/>
      </c>
      <c r="K65" s="18">
        <f>IF(I65=0,"",J65/I65)</f>
        <v/>
      </c>
      <c r="L65" s="17">
        <f>SUM(L5:L64)</f>
        <v/>
      </c>
      <c r="M65" s="17" t="n"/>
      <c r="N65" s="17" t="n"/>
    </row>
  </sheetData>
  <mergeCells count="1">
    <mergeCell ref="B65:H65"/>
  </mergeCells>
  <conditionalFormatting sqref="K5:K64">
    <cfRule type="dataBar" priority="1">
      <dataBar>
        <cfvo type="num" val="0"/>
        <cfvo type="num" val="1"/>
        <color rgb="005B9BD5"/>
      </dataBar>
    </cfRule>
  </conditionalFormatting>
  <conditionalFormatting sqref="M5:M64">
    <cfRule type="cellIs" priority="2" operator="equal" dxfId="1">
      <formula>"완료"</formula>
    </cfRule>
    <cfRule type="cellIs" priority="3" operator="equal" dxfId="2">
      <formula>"진행중"</formula>
    </cfRule>
    <cfRule type="cellIs" priority="4" operator="equal" dxfId="4">
      <formula>"미달 종료"</formula>
    </cfRule>
    <cfRule type="cellIs" priority="5" operator="equal" dxfId="5">
      <formula>"예정"</formula>
    </cfRule>
  </conditionalFormatting>
  <dataValidations count="2">
    <dataValidation sqref="C5:C64" showDropDown="0" showInputMessage="0" showErrorMessage="0" allowBlank="1" type="list">
      <formula1>=기준정보!$B$8:$B$27</formula1>
    </dataValidation>
    <dataValidation sqref="E5:E64" showDropDown="0" showInputMessage="0" showErrorMessage="0" allowBlank="1" type="list">
      <formula1>=기준정보!$D$8:$D$14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4" customWidth="1" min="4" max="4"/>
  </cols>
  <sheetData>
    <row r="1">
      <c r="B1" s="1" t="inlineStr">
        <is>
          <t>기준정보</t>
        </is>
      </c>
    </row>
    <row r="2">
      <c r="B2" s="4" t="inlineStr">
        <is>
          <t>드롭다운 목록 · 기준일 (목표 산정 고정일)</t>
        </is>
      </c>
    </row>
    <row r="4">
      <c r="B4" s="32" t="inlineStr">
        <is>
          <t>목표 산정 기준일</t>
        </is>
      </c>
      <c r="C4" s="24" t="n">
        <v>46302</v>
      </c>
      <c r="D4" s="4" t="inlineStr">
        <is>
          <t>← 회의 기준일. 이 날짜로 목표 수량이 고정됩니다 (TODAY() 대신).</t>
        </is>
      </c>
    </row>
    <row r="5">
      <c r="B5" s="32" t="inlineStr">
        <is>
          <t>소진 기한 = 유통기한 −</t>
        </is>
      </c>
      <c r="C5" s="29" t="n">
        <v>30</v>
      </c>
      <c r="D5" t="inlineStr">
        <is>
          <t>일</t>
        </is>
      </c>
    </row>
    <row r="7" ht="32" customHeight="1">
      <c r="B7" s="5" t="inlineStr">
        <is>
          <t>소진 방법</t>
        </is>
      </c>
      <c r="D7" s="5" t="inlineStr">
        <is>
          <t>모델명</t>
        </is>
      </c>
    </row>
    <row r="8">
      <c r="B8" s="30" t="inlineStr">
        <is>
          <t>공동구매</t>
        </is>
      </c>
      <c r="D8" s="21" t="inlineStr">
        <is>
          <t>CBTE-1</t>
        </is>
      </c>
    </row>
    <row r="9">
      <c r="B9" s="30" t="inlineStr">
        <is>
          <t>넾다세일</t>
        </is>
      </c>
      <c r="D9" s="21" t="inlineStr">
        <is>
          <t>CBTE-7</t>
        </is>
      </c>
    </row>
    <row r="10">
      <c r="B10" s="30" t="inlineStr">
        <is>
          <t>자사몰 임박재고 프로모션</t>
        </is>
      </c>
      <c r="D10" s="21" t="inlineStr">
        <is>
          <t>CBTE-20</t>
        </is>
      </c>
    </row>
    <row r="11">
      <c r="B11" s="30" t="inlineStr">
        <is>
          <t>박스 단위 할인(40-42%)</t>
        </is>
      </c>
      <c r="D11" s="21" t="inlineStr">
        <is>
          <t>TBTE-7</t>
        </is>
      </c>
    </row>
    <row r="12">
      <c r="B12" s="30" t="inlineStr">
        <is>
          <t>28g 첫구매 프로모션</t>
        </is>
      </c>
      <c r="D12" s="21" t="inlineStr">
        <is>
          <t>TBTE-20</t>
        </is>
      </c>
    </row>
    <row r="13">
      <c r="B13" s="30" t="inlineStr">
        <is>
          <t>묶음 옵션 판매</t>
        </is>
      </c>
      <c r="D13" s="21" t="inlineStr">
        <is>
          <t>DBTE-7</t>
        </is>
      </c>
    </row>
    <row r="14">
      <c r="B14" s="30" t="inlineStr">
        <is>
          <t>리테일 임박재고 공급</t>
        </is>
      </c>
      <c r="D14" s="21" t="inlineStr">
        <is>
          <t>DBTE-19</t>
        </is>
      </c>
    </row>
    <row r="15">
      <c r="B15" s="30" t="inlineStr">
        <is>
          <t>B2B 발주 장려금</t>
        </is>
      </c>
    </row>
    <row r="16">
      <c r="B16" s="30" t="inlineStr">
        <is>
          <t>B2B 샘플 지원</t>
        </is>
      </c>
    </row>
    <row r="17">
      <c r="B17" s="30" t="inlineStr">
        <is>
          <t>블로그체험단</t>
        </is>
      </c>
    </row>
    <row r="18">
      <c r="B18" s="30" t="inlineStr">
        <is>
          <t>메타광고</t>
        </is>
      </c>
    </row>
    <row r="19">
      <c r="B19" s="30" t="inlineStr">
        <is>
          <t>카카오광고</t>
        </is>
      </c>
    </row>
    <row r="20">
      <c r="B20" s="30" t="inlineStr">
        <is>
          <t>네이버파워링크</t>
        </is>
      </c>
    </row>
    <row r="21">
      <c r="B21" s="30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2026-10-08T01:02:06Z</dcterms:created>
  <dcterms:modified xmlns:dcterms="http://purl.org/dc/terms/" xmlns:xsi="http://www.w3.org/2001/XMLSchema-instance" xsi:type="dcterms:W3CDTF">2026-10-08T01:02:06Z</dcterms:modified>
</cp:coreProperties>
</file>