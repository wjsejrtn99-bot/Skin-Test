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060" tabRatio="600" firstSheet="0" activeTab="2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데이터 기본" sheetId="2" state="visible" r:id="rId2"/>
    <sheet xmlns:r="http://schemas.openxmlformats.org/officeDocument/2006/relationships" name="목표 달성 스케쥴 시나리오" sheetId="3" state="visible" r:id="rId3"/>
    <sheet xmlns:r="http://schemas.openxmlformats.org/officeDocument/2006/relationships" name="Sheet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_ "/>
    <numFmt numFmtId="166" formatCode="0.0%"/>
    <numFmt numFmtId="167" formatCode="yyyy-mm-dd"/>
    <numFmt numFmtId="168" formatCode="&quot;~&quot;m/d"/>
  </numFmts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맑은 고딕"/>
      <charset val="129"/>
      <family val="2"/>
      <color theme="1"/>
      <sz val="11"/>
    </font>
    <font>
      <name val="맑은 고딕"/>
      <charset val="129"/>
      <family val="3"/>
      <color theme="1"/>
      <sz val="11"/>
    </font>
    <font>
      <name val="Arial"/>
      <charset val="129"/>
      <family val="3"/>
      <color theme="1"/>
      <sz val="11"/>
    </font>
    <font>
      <name val="Arial"/>
      <charset val="129"/>
      <family val="2"/>
      <color theme="1"/>
      <sz val="11"/>
    </font>
    <font>
      <name val="맑은 고딕"/>
      <charset val="129"/>
      <family val="3"/>
      <i val="1"/>
      <color theme="1"/>
      <sz val="11"/>
      <scheme val="minor"/>
    </font>
    <font>
      <color rgb="00808080"/>
      <sz val="9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5C3E"/>
        <bgColor indexed="64"/>
      </patternFill>
    </fill>
    <fill>
      <patternFill patternType="solid">
        <fgColor rgb="FFD9D9D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87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14" fontId="2" fillId="3" borderId="3" applyAlignment="1" pivotButton="0" quotePrefix="0" xfId="0">
      <alignment horizontal="center" vertical="center" wrapText="1"/>
    </xf>
    <xf numFmtId="3" fontId="2" fillId="2" borderId="3" applyAlignment="1" pivotButton="0" quotePrefix="0" xfId="0">
      <alignment horizontal="center" vertical="center" wrapText="1"/>
    </xf>
    <xf numFmtId="3" fontId="2" fillId="0" borderId="4" applyAlignment="1" pivotButton="0" quotePrefix="0" xfId="0">
      <alignment horizontal="center" vertical="center" wrapText="1"/>
    </xf>
    <xf numFmtId="14" fontId="2" fillId="3" borderId="6" applyAlignment="1" pivotButton="0" quotePrefix="0" xfId="0">
      <alignment horizontal="center" vertical="center" wrapText="1"/>
    </xf>
    <xf numFmtId="3" fontId="2" fillId="2" borderId="6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3" fontId="2" fillId="0" borderId="7" applyAlignment="1" pivotButton="0" quotePrefix="0" xfId="0">
      <alignment horizontal="center" vertical="center" wrapText="1"/>
    </xf>
    <xf numFmtId="14" fontId="2" fillId="3" borderId="9" applyAlignment="1" pivotButton="0" quotePrefix="0" xfId="0">
      <alignment horizontal="center" vertical="center" wrapText="1"/>
    </xf>
    <xf numFmtId="3" fontId="2" fillId="2" borderId="9" applyAlignment="1" pivotButton="0" quotePrefix="0" xfId="0">
      <alignment horizontal="center" vertical="center" wrapText="1"/>
    </xf>
    <xf numFmtId="3" fontId="2" fillId="0" borderId="6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vertical="center"/>
    </xf>
    <xf numFmtId="9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3" fontId="2" fillId="0" borderId="6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3" fontId="2" fillId="0" borderId="11" applyAlignment="1" pivotButton="0" quotePrefix="0" xfId="0">
      <alignment horizontal="center" vertical="center" wrapText="1"/>
    </xf>
    <xf numFmtId="3" fontId="2" fillId="0" borderId="13" applyAlignment="1" pivotButton="0" quotePrefix="0" xfId="0">
      <alignment horizontal="center" vertical="center" wrapText="1"/>
    </xf>
    <xf numFmtId="3" fontId="2" fillId="0" borderId="14" applyAlignment="1" pivotButton="0" quotePrefix="0" xfId="0">
      <alignment horizontal="center" vertical="center" wrapText="1"/>
    </xf>
    <xf numFmtId="3" fontId="2" fillId="0" borderId="12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3" fontId="2" fillId="0" borderId="9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7" fillId="0" borderId="15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14" fontId="2" fillId="0" borderId="3" applyAlignment="1" pivotButton="0" quotePrefix="0" xfId="0">
      <alignment horizontal="center" vertical="center" wrapText="1"/>
    </xf>
    <xf numFmtId="14" fontId="2" fillId="0" borderId="6" applyAlignment="1" pivotButton="0" quotePrefix="0" xfId="0">
      <alignment horizontal="center" vertical="center" wrapText="1"/>
    </xf>
    <xf numFmtId="14" fontId="2" fillId="0" borderId="9" applyAlignment="1" pivotButton="0" quotePrefix="0" xfId="0">
      <alignment horizontal="center" vertical="center" wrapText="1"/>
    </xf>
    <xf numFmtId="14" fontId="2" fillId="0" borderId="16" applyAlignment="1" pivotButton="0" quotePrefix="0" xfId="0">
      <alignment horizontal="center" vertical="center" wrapText="1"/>
    </xf>
    <xf numFmtId="14" fontId="2" fillId="0" borderId="17" applyAlignment="1" pivotButton="0" quotePrefix="0" xfId="0">
      <alignment horizontal="center" vertical="center" wrapText="1"/>
    </xf>
    <xf numFmtId="14" fontId="2" fillId="0" borderId="18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0" pivotButton="0" quotePrefix="0" xfId="0"/>
    <xf numFmtId="0" fontId="0" fillId="0" borderId="25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0" fillId="0" borderId="26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14" pivotButton="0" quotePrefix="0" xfId="0"/>
    <xf numFmtId="0" fontId="0" fillId="0" borderId="13" pivotButton="0" quotePrefix="0" xfId="0"/>
    <xf numFmtId="3" fontId="2" fillId="0" borderId="19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12" pivotButton="0" quotePrefix="0" xfId="0"/>
    <xf numFmtId="168" fontId="9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 vertical="center"/>
    </xf>
    <xf numFmtId="3" fontId="0" fillId="0" borderId="2" applyAlignment="1" pivotButton="0" quotePrefix="0" xfId="0">
      <alignment vertical="center"/>
    </xf>
    <xf numFmtId="3" fontId="0" fillId="0" borderId="3" applyAlignment="1" pivotButton="0" quotePrefix="0" xfId="0">
      <alignment vertical="center"/>
    </xf>
    <xf numFmtId="3" fontId="0" fillId="0" borderId="4" applyAlignment="1" pivotButton="0" quotePrefix="0" xfId="0">
      <alignment vertical="center"/>
    </xf>
    <xf numFmtId="3" fontId="0" fillId="0" borderId="5" applyAlignment="1" pivotButton="0" quotePrefix="0" xfId="0">
      <alignment vertical="center"/>
    </xf>
    <xf numFmtId="3" fontId="0" fillId="0" borderId="6" applyAlignment="1" pivotButton="0" quotePrefix="0" xfId="0">
      <alignment vertical="center"/>
    </xf>
    <xf numFmtId="3" fontId="0" fillId="0" borderId="7" applyAlignment="1" pivotButton="0" quotePrefix="0" xfId="0">
      <alignment vertical="center"/>
    </xf>
    <xf numFmtId="3" fontId="0" fillId="0" borderId="8" applyAlignment="1" pivotButton="0" quotePrefix="0" xfId="0">
      <alignment vertical="center"/>
    </xf>
    <xf numFmtId="3" fontId="0" fillId="0" borderId="9" applyAlignment="1" pivotButton="0" quotePrefix="0" xfId="0">
      <alignment vertical="center"/>
    </xf>
    <xf numFmtId="3" fontId="0" fillId="0" borderId="19" applyAlignment="1" pivotButton="0" quotePrefix="0" xfId="0">
      <alignment vertical="center"/>
    </xf>
  </cellXfs>
  <cellStyles count="1">
    <cellStyle name="표준" xfId="0" builtinId="0"/>
  </cellStyles>
  <dxfs count="2"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ont>
        <b val="1"/>
        <color rgb="00FFFFFF"/>
      </font>
      <fill>
        <patternFill patternType="solid">
          <fgColor rgb="0000B050"/>
          <bgColor rgb="0000B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C5" sqref="C5"/>
    </sheetView>
  </sheetViews>
  <sheetFormatPr baseColWidth="8" defaultRowHeight="16.5"/>
  <cols>
    <col width="11" bestFit="1" customWidth="1" style="63" min="1" max="1"/>
    <col width="15.125" bestFit="1" customWidth="1" style="63" min="2" max="2"/>
    <col width="9" customWidth="1" style="18" min="3" max="3"/>
    <col width="14.375" bestFit="1" customWidth="1" style="18" min="4" max="4"/>
    <col width="11" bestFit="1" customWidth="1" style="20" min="5" max="5"/>
    <col width="17.25" bestFit="1" customWidth="1" style="63" min="7" max="7"/>
    <col width="14.375" bestFit="1" customWidth="1" style="21" min="8" max="8"/>
    <col width="9.125" bestFit="1" customWidth="1" style="21" min="10" max="10"/>
    <col width="9.25" bestFit="1" customWidth="1" style="21" min="11" max="11"/>
    <col width="88.625" bestFit="1" customWidth="1" style="63" min="12" max="12"/>
  </cols>
  <sheetData>
    <row r="1">
      <c r="C1" s="28" t="inlineStr">
        <is>
          <t>목표</t>
        </is>
      </c>
      <c r="F1" s="0" t="inlineStr">
        <is>
          <t>실행 기간</t>
        </is>
      </c>
      <c r="G1" s="0" t="inlineStr">
        <is>
          <t>실행 결과</t>
        </is>
      </c>
      <c r="H1" s="0" t="n"/>
      <c r="J1" s="0" t="n">
        <v>1000</v>
      </c>
      <c r="K1" s="0" t="n"/>
    </row>
    <row r="2">
      <c r="C2" s="28" t="inlineStr">
        <is>
          <t>판매</t>
        </is>
      </c>
      <c r="D2" s="28" t="inlineStr">
        <is>
          <t>모집 필요 인원</t>
        </is>
      </c>
      <c r="E2" s="28" t="inlineStr">
        <is>
          <t>판매전환율</t>
        </is>
      </c>
      <c r="G2" s="28" t="inlineStr">
        <is>
          <t>인플루언서 명</t>
        </is>
      </c>
      <c r="H2" s="28" t="inlineStr">
        <is>
          <t>실제 모집 인원</t>
        </is>
      </c>
      <c r="I2" s="28" t="inlineStr">
        <is>
          <t>전환율</t>
        </is>
      </c>
      <c r="J2" s="28" t="inlineStr">
        <is>
          <t>판매수</t>
        </is>
      </c>
      <c r="K2" s="28" t="inlineStr">
        <is>
          <t>매출</t>
        </is>
      </c>
      <c r="L2" s="28" t="inlineStr">
        <is>
          <t>판매 부진 사유</t>
        </is>
      </c>
    </row>
    <row r="3" ht="33" customHeight="1" s="63">
      <c r="A3" s="0" t="inlineStr">
        <is>
          <t>스몰바이트</t>
        </is>
      </c>
      <c r="B3" s="0" t="inlineStr">
        <is>
          <t>공동구매</t>
        </is>
      </c>
      <c r="C3" s="18" t="n">
        <v>1000</v>
      </c>
      <c r="D3" s="18" t="n">
        <v>10000</v>
      </c>
      <c r="E3" s="20">
        <f>10%</f>
        <v/>
      </c>
      <c r="G3" s="0" t="inlineStr">
        <is>
          <t>부끄</t>
        </is>
      </c>
      <c r="H3" s="21" t="n">
        <v>5000</v>
      </c>
      <c r="I3" s="19" t="n">
        <v>0.1</v>
      </c>
      <c r="J3" s="21">
        <f>H3*I3</f>
        <v/>
      </c>
      <c r="K3" s="21" t="n">
        <v>5000000</v>
      </c>
      <c r="L3" s="47" t="inlineStr">
        <is>
          <t>예) 채팅창 모니터링 결과 주식 급여라는 호스트의 말에 사람들이 수긍하지 않았던 것으로 보임
다음 액션: 판매 가이드를 토핑으로 시작해 주식 급여 바뀌는 고객들이 많다는 증거 자료 제시</t>
        </is>
      </c>
    </row>
    <row r="4">
      <c r="B4" s="0" t="inlineStr">
        <is>
          <t>넾다세일</t>
        </is>
      </c>
    </row>
    <row r="6">
      <c r="B6" s="0" t="inlineStr">
        <is>
          <t>블로그체험단</t>
        </is>
      </c>
    </row>
    <row r="7">
      <c r="B7" s="0" t="inlineStr">
        <is>
          <t>메타광고</t>
        </is>
      </c>
    </row>
    <row r="8">
      <c r="B8" s="0" t="inlineStr">
        <is>
          <t>카카오광고</t>
        </is>
      </c>
    </row>
    <row r="12">
      <c r="B12" s="0" t="inlineStr">
        <is>
          <t>소진계획</t>
        </is>
      </c>
    </row>
    <row r="13">
      <c r="B13" s="0" t="inlineStr">
        <is>
          <t>네이버파워링크</t>
        </is>
      </c>
    </row>
  </sheetData>
  <mergeCells count="1">
    <mergeCell ref="C1:E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Q40"/>
  <sheetViews>
    <sheetView workbookViewId="0">
      <selection activeCell="G4" sqref="G4"/>
    </sheetView>
  </sheetViews>
  <sheetFormatPr baseColWidth="8" defaultRowHeight="16.5"/>
  <cols>
    <col width="3.875" customWidth="1" style="63" min="1" max="1"/>
    <col width="11" bestFit="1" customWidth="1" style="63" min="2" max="2"/>
    <col width="11.125" bestFit="1" customWidth="1" style="63" min="6" max="6"/>
    <col width="12.5" customWidth="1" style="63" min="9" max="9"/>
    <col width="12.75" customWidth="1" style="63" min="11" max="11"/>
    <col width="20" bestFit="1" customWidth="1" style="63" min="13" max="13"/>
    <col width="14.375" bestFit="1" customWidth="1" style="63" min="14" max="14"/>
    <col width="18.625" bestFit="1" customWidth="1" style="63" min="15" max="16"/>
    <col width="18" customWidth="1" style="63" min="17" max="17"/>
  </cols>
  <sheetData>
    <row r="1">
      <c r="B1" s="1">
        <f>TODAY()</f>
        <v/>
      </c>
      <c r="J1" s="0" t="inlineStr">
        <is>
          <t>기한: 유통기한보다 30일 전</t>
        </is>
      </c>
    </row>
    <row r="2">
      <c r="B2" s="1" t="n"/>
      <c r="M2" s="0" t="inlineStr">
        <is>
          <t>(목표보다 조기 소진)</t>
        </is>
      </c>
    </row>
    <row r="3" ht="41.25" customHeight="1" s="63">
      <c r="B3" s="29" t="inlineStr">
        <is>
          <t>분류</t>
        </is>
      </c>
      <c r="C3" s="64" t="n"/>
      <c r="D3" s="29" t="inlineStr">
        <is>
          <t>중량</t>
        </is>
      </c>
      <c r="E3" s="29" t="inlineStr">
        <is>
          <t>모델명</t>
        </is>
      </c>
      <c r="F3" s="29" t="inlineStr">
        <is>
          <t>유통기한</t>
        </is>
      </c>
      <c r="G3" s="29" t="inlineStr">
        <is>
          <t>수량</t>
        </is>
      </c>
      <c r="H3" s="29" t="inlineStr">
        <is>
          <t>합계</t>
        </is>
      </c>
      <c r="I3" s="15" t="inlineStr">
        <is>
          <t>일평균 출고량</t>
        </is>
      </c>
      <c r="J3" s="14" t="inlineStr">
        <is>
          <t>기한</t>
        </is>
      </c>
      <c r="K3" s="16" t="inlineStr">
        <is>
          <t>기한까지 남는 악성 재고 (개)</t>
        </is>
      </c>
      <c r="M3" s="46" t="inlineStr">
        <is>
          <t>* 60일 기준 
일 필요 판매량</t>
        </is>
      </c>
      <c r="N3" s="47" t="inlineStr">
        <is>
          <t>목표 달성 위한 
일 판매량</t>
        </is>
      </c>
      <c r="O3" s="47" t="inlineStr">
        <is>
          <t>현재 판매량과의 갭
(배수)</t>
        </is>
      </c>
      <c r="P3" s="47" t="inlineStr">
        <is>
          <t>현재 판매량과의 갭
(백분율)</t>
        </is>
      </c>
      <c r="Q3" s="47" t="inlineStr">
        <is>
          <t>SKU별 목표 달성
일 판매량 (선입선출)</t>
        </is>
      </c>
    </row>
    <row r="4">
      <c r="B4" s="34" t="inlineStr">
        <is>
          <t>스몰바이트</t>
        </is>
      </c>
      <c r="C4" s="37" t="inlineStr">
        <is>
          <t>치킨</t>
        </is>
      </c>
      <c r="D4" s="37" t="inlineStr">
        <is>
          <t>28g</t>
        </is>
      </c>
      <c r="E4" s="37" t="inlineStr">
        <is>
          <t>CBTE-1</t>
        </is>
      </c>
      <c r="F4" s="4" t="n">
        <v>46493</v>
      </c>
      <c r="G4" s="5">
        <f>85*24</f>
        <v/>
      </c>
      <c r="H4" s="5">
        <f>G4</f>
        <v/>
      </c>
      <c r="I4" s="6">
        <f>4*24/30</f>
        <v/>
      </c>
      <c r="J4" s="28">
        <f>F4-$B$1-30</f>
        <v/>
      </c>
      <c r="K4" s="18">
        <f>G4-(J4*I4)</f>
        <v/>
      </c>
      <c r="M4" s="0">
        <f>H4/60</f>
        <v/>
      </c>
      <c r="N4" s="65">
        <f>G4/J4</f>
        <v/>
      </c>
      <c r="O4" s="66">
        <f>N4/I4</f>
        <v/>
      </c>
      <c r="P4" s="67" t="n">
        <v>3.984375</v>
      </c>
      <c r="Q4" s="65">
        <f>$G4/$J4</f>
        <v/>
      </c>
    </row>
    <row r="5">
      <c r="B5" s="68" t="n"/>
      <c r="C5" s="69" t="n"/>
      <c r="D5" s="32" t="inlineStr">
        <is>
          <t>198g</t>
        </is>
      </c>
      <c r="E5" s="32" t="inlineStr">
        <is>
          <t>CBTE-7</t>
        </is>
      </c>
      <c r="F5" s="7" t="n">
        <v>46475</v>
      </c>
      <c r="G5" s="8">
        <f>44*8</f>
        <v/>
      </c>
      <c r="H5" s="33">
        <f>G5+G6</f>
        <v/>
      </c>
      <c r="I5" s="10">
        <f>6*8/30</f>
        <v/>
      </c>
      <c r="J5" s="28">
        <f>F5-$B$1-30</f>
        <v/>
      </c>
      <c r="K5" s="18">
        <f>G5-(J5*I5)</f>
        <v/>
      </c>
      <c r="M5" s="0">
        <f>H5/60</f>
        <v/>
      </c>
      <c r="N5" s="65">
        <f>G5/J5</f>
        <v/>
      </c>
      <c r="O5" s="66">
        <f>N5/I5</f>
        <v/>
      </c>
      <c r="P5" s="67" t="n">
        <v>1.549295774647887</v>
      </c>
      <c r="Q5" s="65">
        <f>MAX(SUM($G$5:$G5)/$J5,SUM($G$5:$G6)/$J6)</f>
        <v/>
      </c>
    </row>
    <row r="6">
      <c r="B6" s="68" t="n"/>
      <c r="C6" s="69" t="n"/>
      <c r="D6" s="70" t="n"/>
      <c r="E6" s="70" t="n"/>
      <c r="F6" s="7" t="n">
        <v>46514</v>
      </c>
      <c r="G6" s="8">
        <f>105*8</f>
        <v/>
      </c>
      <c r="H6" s="70" t="n"/>
      <c r="I6" s="71" t="n"/>
      <c r="J6" s="28">
        <f>F6-$B$1-30</f>
        <v/>
      </c>
      <c r="K6" s="18">
        <f>G6-(J6*I5)</f>
        <v/>
      </c>
      <c r="M6" s="0">
        <f>H5/60</f>
        <v/>
      </c>
      <c r="N6" s="65">
        <f>G6/J6</f>
        <v/>
      </c>
      <c r="O6" s="66">
        <f>N6/I5</f>
        <v/>
      </c>
      <c r="P6" s="67" t="n">
        <v>2.900552486187845</v>
      </c>
    </row>
    <row r="7">
      <c r="B7" s="68" t="n"/>
      <c r="C7" s="70" t="n"/>
      <c r="D7" s="32" t="inlineStr">
        <is>
          <t>567g</t>
        </is>
      </c>
      <c r="E7" s="32" t="inlineStr">
        <is>
          <t>CBTE-20</t>
        </is>
      </c>
      <c r="F7" s="7" t="n">
        <v>46508</v>
      </c>
      <c r="G7" s="8">
        <f>274*4</f>
        <v/>
      </c>
      <c r="H7" s="33">
        <f>G7</f>
        <v/>
      </c>
      <c r="I7" s="10">
        <f>5*4/30</f>
        <v/>
      </c>
      <c r="J7" s="28">
        <f>F7-$B$1-30</f>
        <v/>
      </c>
      <c r="K7" s="18">
        <f>G7-(J7*I7)</f>
        <v/>
      </c>
      <c r="M7" s="0">
        <f>H7/60</f>
        <v/>
      </c>
      <c r="N7" s="65">
        <f>G7/J7</f>
        <v/>
      </c>
      <c r="O7" s="66">
        <f>N7/I7</f>
        <v/>
      </c>
      <c r="P7" s="67" t="n">
        <v>9.394285714285715</v>
      </c>
      <c r="Q7" s="65">
        <f>$G7/$J7</f>
        <v/>
      </c>
    </row>
    <row r="8">
      <c r="B8" s="68" t="n"/>
      <c r="C8" s="30" t="inlineStr">
        <is>
          <t>터키</t>
        </is>
      </c>
      <c r="D8" s="32" t="inlineStr">
        <is>
          <t>198g</t>
        </is>
      </c>
      <c r="E8" s="32" t="inlineStr">
        <is>
          <t>TBTE-7</t>
        </is>
      </c>
      <c r="F8" s="7" t="n">
        <v>46475</v>
      </c>
      <c r="G8" s="8">
        <f>23*8</f>
        <v/>
      </c>
      <c r="H8" s="33">
        <f>SUM(G8:G11)</f>
        <v/>
      </c>
      <c r="I8" s="10">
        <f>7*8/30</f>
        <v/>
      </c>
      <c r="J8" s="28">
        <f>F8-$B$1-30</f>
        <v/>
      </c>
      <c r="K8" s="18">
        <f>G8-(J8*I8)</f>
        <v/>
      </c>
      <c r="M8" s="0">
        <f>$H$8/60</f>
        <v/>
      </c>
      <c r="N8" s="65">
        <f>G8/J8</f>
        <v/>
      </c>
      <c r="O8" s="66">
        <f>N8/I8</f>
        <v/>
      </c>
      <c r="P8" s="67" t="n">
        <v>0.6941649899396378</v>
      </c>
      <c r="Q8" s="65">
        <f>MAX(SUM($G$8:$G8)/$J8,SUM($G$8:$G9)/$J9,SUM($G$8:$G10)/$J10,SUM($G$8:$G11)/$J11)</f>
        <v/>
      </c>
    </row>
    <row r="9">
      <c r="B9" s="68" t="n"/>
      <c r="C9" s="69" t="n"/>
      <c r="D9" s="69" t="n"/>
      <c r="E9" s="69" t="n"/>
      <c r="F9" s="7" t="n">
        <v>46479</v>
      </c>
      <c r="G9" s="8">
        <f>40*8</f>
        <v/>
      </c>
      <c r="H9" s="69" t="n"/>
      <c r="I9" s="72" t="n"/>
      <c r="J9" s="28">
        <f>F9-$B$1-30</f>
        <v/>
      </c>
      <c r="K9" s="18">
        <f>G9-(J9*I8)</f>
        <v/>
      </c>
      <c r="M9" s="0">
        <f>$H$8/60</f>
        <v/>
      </c>
      <c r="N9" s="65">
        <f>G9/J9</f>
        <v/>
      </c>
      <c r="O9" s="66">
        <f>N9/I8</f>
        <v/>
      </c>
      <c r="P9" s="67" t="n">
        <v>1.174168297455969</v>
      </c>
    </row>
    <row r="10">
      <c r="B10" s="68" t="n"/>
      <c r="C10" s="69" t="n"/>
      <c r="D10" s="69" t="n"/>
      <c r="E10" s="69" t="n"/>
      <c r="F10" s="7" t="n">
        <v>46515</v>
      </c>
      <c r="G10" s="8">
        <f>20*8</f>
        <v/>
      </c>
      <c r="H10" s="69" t="n"/>
      <c r="I10" s="72" t="n"/>
      <c r="J10" s="28">
        <f>F10-$B$1-30</f>
        <v/>
      </c>
      <c r="K10" s="18">
        <f>G10-(J10*I8)</f>
        <v/>
      </c>
      <c r="M10" s="0">
        <f>$H$8/60</f>
        <v/>
      </c>
      <c r="N10" s="65">
        <f>G10/J10</f>
        <v/>
      </c>
      <c r="O10" s="66">
        <f>N10/I8</f>
        <v/>
      </c>
      <c r="P10" s="67" t="n">
        <v>0.4709576138147566</v>
      </c>
    </row>
    <row r="11">
      <c r="B11" s="68" t="n"/>
      <c r="C11" s="69" t="n"/>
      <c r="D11" s="70" t="n"/>
      <c r="E11" s="70" t="n"/>
      <c r="F11" s="7" t="n">
        <v>46521</v>
      </c>
      <c r="G11" s="8">
        <f>100*8</f>
        <v/>
      </c>
      <c r="H11" s="70" t="n"/>
      <c r="I11" s="71" t="n"/>
      <c r="J11" s="28">
        <f>F11-$B$1-30</f>
        <v/>
      </c>
      <c r="K11" s="18">
        <f>G11-(J11*I8)</f>
        <v/>
      </c>
      <c r="M11" s="0">
        <f>$H$8/60</f>
        <v/>
      </c>
      <c r="N11" s="65">
        <f>G11/J11</f>
        <v/>
      </c>
      <c r="O11" s="66">
        <f>N11/I8</f>
        <v/>
      </c>
      <c r="P11" s="67" t="n">
        <v>2.279635258358662</v>
      </c>
    </row>
    <row r="12">
      <c r="B12" s="68" t="n"/>
      <c r="C12" s="69" t="n"/>
      <c r="D12" s="32" t="inlineStr">
        <is>
          <t>567g</t>
        </is>
      </c>
      <c r="E12" s="32" t="inlineStr">
        <is>
          <t>TBTE-20</t>
        </is>
      </c>
      <c r="F12" s="7" t="n">
        <v>46507</v>
      </c>
      <c r="G12" s="8">
        <f>1*4</f>
        <v/>
      </c>
      <c r="H12" s="33">
        <f>SUM(G12:G15)</f>
        <v/>
      </c>
      <c r="I12" s="10">
        <f>11*4/30</f>
        <v/>
      </c>
      <c r="J12" s="28">
        <f>F12-$B$1-30</f>
        <v/>
      </c>
      <c r="K12" s="18">
        <f>G12-(J12*I12)</f>
        <v/>
      </c>
      <c r="M12" s="0">
        <f>$H$12/60</f>
        <v/>
      </c>
      <c r="N12" s="65">
        <f>G12/J12</f>
        <v/>
      </c>
      <c r="O12" s="66">
        <f>N12/I12</f>
        <v/>
      </c>
      <c r="P12" s="67" t="n">
        <v>0.01567398119122257</v>
      </c>
      <c r="Q12" s="65">
        <f>MAX(SUM($G$12:$G12)/$J12,SUM($G$12:$G13)/$J13,SUM($G$12:$G14)/$J14,SUM($G$12:$G15)/$J15)</f>
        <v/>
      </c>
    </row>
    <row r="13">
      <c r="B13" s="68" t="n"/>
      <c r="C13" s="69" t="n"/>
      <c r="D13" s="69" t="n"/>
      <c r="E13" s="69" t="n"/>
      <c r="F13" s="7" t="n">
        <v>46508</v>
      </c>
      <c r="G13" s="8">
        <f>74*4</f>
        <v/>
      </c>
      <c r="H13" s="69" t="n"/>
      <c r="I13" s="72" t="n"/>
      <c r="J13" s="28">
        <f>F13-$B$1-30</f>
        <v/>
      </c>
      <c r="K13" s="18">
        <f>G13-(J13*I12)</f>
        <v/>
      </c>
      <c r="M13" s="0">
        <f>$H$12/60</f>
        <v/>
      </c>
      <c r="N13" s="65">
        <f>G13/J13</f>
        <v/>
      </c>
      <c r="O13" s="66">
        <f>N13/I12</f>
        <v/>
      </c>
      <c r="P13" s="67" t="n">
        <v>1.153246753246753</v>
      </c>
    </row>
    <row r="14">
      <c r="B14" s="68" t="n"/>
      <c r="C14" s="69" t="n"/>
      <c r="D14" s="69" t="n"/>
      <c r="E14" s="69" t="n"/>
      <c r="F14" s="7" t="n">
        <v>46519</v>
      </c>
      <c r="G14" s="8">
        <f>83*4</f>
        <v/>
      </c>
      <c r="H14" s="69" t="n"/>
      <c r="I14" s="72" t="n"/>
      <c r="J14" s="28">
        <f>F14-$B$1-30</f>
        <v/>
      </c>
      <c r="K14" s="18">
        <f>G14-(J14*I12)</f>
        <v/>
      </c>
      <c r="M14" s="0">
        <f>$H$12/60</f>
        <v/>
      </c>
      <c r="N14" s="65">
        <f>G14/J14</f>
        <v/>
      </c>
      <c r="O14" s="66">
        <f>N14/I12</f>
        <v/>
      </c>
      <c r="P14" s="67" t="n">
        <v>1.217008797653959</v>
      </c>
    </row>
    <row r="15">
      <c r="B15" s="68" t="n"/>
      <c r="C15" s="70" t="n"/>
      <c r="D15" s="70" t="n"/>
      <c r="E15" s="70" t="n"/>
      <c r="F15" s="7" t="n">
        <v>46521</v>
      </c>
      <c r="G15" s="8">
        <f>77*4</f>
        <v/>
      </c>
      <c r="H15" s="70" t="n"/>
      <c r="I15" s="71" t="n"/>
      <c r="J15" s="28">
        <f>F15-$B$1-30</f>
        <v/>
      </c>
      <c r="K15" s="18">
        <f>G15-(J15*I12)</f>
        <v/>
      </c>
      <c r="M15" s="0">
        <f>$H$12/60</f>
        <v/>
      </c>
      <c r="N15" s="65">
        <f>G15/J15</f>
        <v/>
      </c>
      <c r="O15" s="66">
        <f>N15/I12</f>
        <v/>
      </c>
      <c r="P15" s="67" t="n">
        <v>1.117021276595745</v>
      </c>
    </row>
    <row r="16">
      <c r="B16" s="68" t="n"/>
      <c r="C16" s="30" t="inlineStr">
        <is>
          <t>덕</t>
        </is>
      </c>
      <c r="D16" s="32" t="inlineStr">
        <is>
          <t>198g</t>
        </is>
      </c>
      <c r="E16" s="32" t="inlineStr">
        <is>
          <t>DBTE-7</t>
        </is>
      </c>
      <c r="F16" s="7" t="n">
        <v>46464</v>
      </c>
      <c r="G16" s="8">
        <f>77*8</f>
        <v/>
      </c>
      <c r="H16" s="33">
        <f>G16+G17</f>
        <v/>
      </c>
      <c r="I16" s="10">
        <f>8*8/30</f>
        <v/>
      </c>
      <c r="J16" s="28">
        <f>F16-$B$1-30</f>
        <v/>
      </c>
      <c r="K16" s="18">
        <f>G16-(J16*I16)</f>
        <v/>
      </c>
      <c r="M16" s="0">
        <f>$H$16/60</f>
        <v/>
      </c>
      <c r="N16" s="65">
        <f>G16/J16</f>
        <v/>
      </c>
      <c r="O16" s="66">
        <f>N16/I16</f>
        <v/>
      </c>
      <c r="P16" s="67" t="n">
        <v>2.204198473282443</v>
      </c>
      <c r="Q16" s="65">
        <f>MAX(SUM($G$16:$G16)/$J16,SUM($G$16:$G17)/$J17)</f>
        <v/>
      </c>
    </row>
    <row r="17">
      <c r="B17" s="68" t="n"/>
      <c r="C17" s="69" t="n"/>
      <c r="D17" s="70" t="n"/>
      <c r="E17" s="70" t="n"/>
      <c r="F17" s="7" t="n">
        <v>46510</v>
      </c>
      <c r="G17" s="8">
        <f>97*8</f>
        <v/>
      </c>
      <c r="H17" s="70" t="n"/>
      <c r="I17" s="71" t="n"/>
      <c r="J17" s="28">
        <f>F17-$B$1-30</f>
        <v/>
      </c>
      <c r="K17" s="18">
        <f>G17-(J17*I16)</f>
        <v/>
      </c>
      <c r="M17" s="0">
        <f>$H$16/60</f>
        <v/>
      </c>
      <c r="N17" s="65">
        <f>G17/J17</f>
        <v/>
      </c>
      <c r="O17" s="66">
        <f>N17/I16</f>
        <v/>
      </c>
      <c r="P17" s="67" t="n">
        <v>2.055084745762711</v>
      </c>
    </row>
    <row r="18">
      <c r="B18" s="68" t="n"/>
      <c r="C18" s="69" t="n"/>
      <c r="D18" s="32" t="inlineStr">
        <is>
          <t>539g</t>
        </is>
      </c>
      <c r="E18" s="32" t="inlineStr">
        <is>
          <t>DBTE-19</t>
        </is>
      </c>
      <c r="F18" s="7" t="n">
        <v>46501</v>
      </c>
      <c r="G18" s="8">
        <f>125*4</f>
        <v/>
      </c>
      <c r="H18" s="33">
        <f>G19+G18</f>
        <v/>
      </c>
      <c r="I18" s="73">
        <f>4*4/30</f>
        <v/>
      </c>
      <c r="J18" s="28">
        <f>F18-$B$1-30</f>
        <v/>
      </c>
      <c r="K18" s="18">
        <f>G18-(J18*I18)</f>
        <v/>
      </c>
      <c r="M18" s="0">
        <f>$H$18/60</f>
        <v/>
      </c>
      <c r="N18" s="65">
        <f>G18/J18</f>
        <v/>
      </c>
      <c r="O18" s="66">
        <f>N18/I18</f>
        <v/>
      </c>
      <c r="P18" s="67" t="n">
        <v>5.580357142857143</v>
      </c>
      <c r="Q18" s="65">
        <f>MAX(SUM($G$18:$G18)/$J18,SUM($G$18:$G19)/$J19)</f>
        <v/>
      </c>
    </row>
    <row r="19">
      <c r="B19" s="74" t="n"/>
      <c r="C19" s="70" t="n"/>
      <c r="D19" s="70" t="n"/>
      <c r="E19" s="70" t="n"/>
      <c r="F19" s="11" t="n">
        <v>46521</v>
      </c>
      <c r="G19" s="12">
        <f>151*4</f>
        <v/>
      </c>
      <c r="H19" s="70" t="n"/>
      <c r="I19" s="75" t="n"/>
      <c r="J19" s="28">
        <f>F19-$B$1-30</f>
        <v/>
      </c>
      <c r="K19" s="18">
        <f>G19-(J19*I18)</f>
        <v/>
      </c>
      <c r="M19" s="0">
        <f>$H$18/60</f>
        <v/>
      </c>
      <c r="N19" s="65">
        <f>G19/J19</f>
        <v/>
      </c>
      <c r="O19" s="66">
        <f>N19/I18</f>
        <v/>
      </c>
      <c r="P19" s="67" t="n">
        <v>6.023936170212767</v>
      </c>
    </row>
    <row r="20">
      <c r="F20" s="1" t="n"/>
      <c r="J20" s="28" t="n"/>
    </row>
    <row r="22">
      <c r="B22" s="0" t="inlineStr">
        <is>
          <t>여기에 판매 시나리오 주차별로.</t>
        </is>
      </c>
    </row>
    <row r="23">
      <c r="C23" s="0" t="inlineStr">
        <is>
          <t>일 목표 판매량</t>
        </is>
      </c>
      <c r="D23" s="0" t="inlineStr">
        <is>
          <t>여기에 숫자 넣기</t>
        </is>
      </c>
    </row>
    <row r="25">
      <c r="B25" s="37" t="inlineStr">
        <is>
          <t>치킨</t>
        </is>
      </c>
      <c r="C25" s="37" t="inlineStr">
        <is>
          <t>28g</t>
        </is>
      </c>
      <c r="D25" s="37" t="inlineStr">
        <is>
          <t>CBTE-1</t>
        </is>
      </c>
      <c r="E25" s="48" t="n">
        <v>46493</v>
      </c>
    </row>
    <row r="26">
      <c r="B26" s="69" t="n"/>
      <c r="C26" s="32" t="inlineStr">
        <is>
          <t>198g</t>
        </is>
      </c>
      <c r="D26" s="32" t="inlineStr">
        <is>
          <t>CBTE-7</t>
        </is>
      </c>
      <c r="E26" s="49" t="n">
        <v>46475</v>
      </c>
    </row>
    <row r="27">
      <c r="B27" s="69" t="n"/>
      <c r="C27" s="70" t="n"/>
      <c r="D27" s="70" t="n"/>
      <c r="E27" s="49" t="n">
        <v>46514</v>
      </c>
    </row>
    <row r="28">
      <c r="B28" s="70" t="n"/>
      <c r="C28" s="32" t="inlineStr">
        <is>
          <t>567g</t>
        </is>
      </c>
      <c r="D28" s="32" t="inlineStr">
        <is>
          <t>CBTE-20</t>
        </is>
      </c>
      <c r="E28" s="49" t="n">
        <v>46508</v>
      </c>
    </row>
    <row r="29">
      <c r="B29" s="30" t="inlineStr">
        <is>
          <t>터키</t>
        </is>
      </c>
      <c r="C29" s="32" t="inlineStr">
        <is>
          <t>198g</t>
        </is>
      </c>
      <c r="D29" s="32" t="inlineStr">
        <is>
          <t>TBTE-7</t>
        </is>
      </c>
      <c r="E29" s="49" t="n">
        <v>46475</v>
      </c>
    </row>
    <row r="30">
      <c r="B30" s="69" t="n"/>
      <c r="C30" s="69" t="n"/>
      <c r="D30" s="69" t="n"/>
      <c r="E30" s="49" t="n">
        <v>46479</v>
      </c>
    </row>
    <row r="31">
      <c r="B31" s="69" t="n"/>
      <c r="C31" s="69" t="n"/>
      <c r="D31" s="69" t="n"/>
      <c r="E31" s="49" t="n">
        <v>46515</v>
      </c>
    </row>
    <row r="32">
      <c r="B32" s="69" t="n"/>
      <c r="C32" s="70" t="n"/>
      <c r="D32" s="70" t="n"/>
      <c r="E32" s="49" t="n">
        <v>46521</v>
      </c>
    </row>
    <row r="33">
      <c r="B33" s="69" t="n"/>
      <c r="C33" s="32" t="inlineStr">
        <is>
          <t>567g</t>
        </is>
      </c>
      <c r="D33" s="32" t="inlineStr">
        <is>
          <t>TBTE-20</t>
        </is>
      </c>
      <c r="E33" s="49" t="n">
        <v>46507</v>
      </c>
    </row>
    <row r="34">
      <c r="B34" s="69" t="n"/>
      <c r="C34" s="69" t="n"/>
      <c r="D34" s="69" t="n"/>
      <c r="E34" s="49" t="n">
        <v>46508</v>
      </c>
    </row>
    <row r="35">
      <c r="B35" s="69" t="n"/>
      <c r="C35" s="69" t="n"/>
      <c r="D35" s="69" t="n"/>
      <c r="E35" s="49" t="n">
        <v>46519</v>
      </c>
    </row>
    <row r="36">
      <c r="B36" s="70" t="n"/>
      <c r="C36" s="70" t="n"/>
      <c r="D36" s="70" t="n"/>
      <c r="E36" s="49" t="n">
        <v>46521</v>
      </c>
    </row>
    <row r="37">
      <c r="B37" s="30" t="inlineStr">
        <is>
          <t>덕</t>
        </is>
      </c>
      <c r="C37" s="32" t="inlineStr">
        <is>
          <t>198g</t>
        </is>
      </c>
      <c r="D37" s="32" t="inlineStr">
        <is>
          <t>DBTE-7</t>
        </is>
      </c>
      <c r="E37" s="49" t="n">
        <v>46464</v>
      </c>
    </row>
    <row r="38">
      <c r="B38" s="69" t="n"/>
      <c r="C38" s="70" t="n"/>
      <c r="D38" s="70" t="n"/>
      <c r="E38" s="49" t="n">
        <v>46510</v>
      </c>
    </row>
    <row r="39">
      <c r="B39" s="69" t="n"/>
      <c r="C39" s="32" t="inlineStr">
        <is>
          <t>539g</t>
        </is>
      </c>
      <c r="D39" s="32" t="inlineStr">
        <is>
          <t>DBTE-19</t>
        </is>
      </c>
      <c r="E39" s="49" t="n">
        <v>46501</v>
      </c>
    </row>
    <row r="40">
      <c r="B40" s="70" t="n"/>
      <c r="C40" s="70" t="n"/>
      <c r="D40" s="70" t="n"/>
      <c r="E40" s="50" t="n">
        <v>46521</v>
      </c>
    </row>
  </sheetData>
  <mergeCells count="43">
    <mergeCell ref="E5:E6"/>
    <mergeCell ref="Q5:Q6"/>
    <mergeCell ref="B3:C3"/>
    <mergeCell ref="E8:E11"/>
    <mergeCell ref="C33:C36"/>
    <mergeCell ref="Q12:Q15"/>
    <mergeCell ref="I16:I17"/>
    <mergeCell ref="C29:C32"/>
    <mergeCell ref="Q18:Q19"/>
    <mergeCell ref="C26:C27"/>
    <mergeCell ref="C4:C7"/>
    <mergeCell ref="I18:I19"/>
    <mergeCell ref="Q8:Q11"/>
    <mergeCell ref="B4:B19"/>
    <mergeCell ref="C16:C19"/>
    <mergeCell ref="I12:I15"/>
    <mergeCell ref="D16:D17"/>
    <mergeCell ref="I5:I6"/>
    <mergeCell ref="D18:D19"/>
    <mergeCell ref="H16:H17"/>
    <mergeCell ref="I8:I11"/>
    <mergeCell ref="D12:D15"/>
    <mergeCell ref="D37:D38"/>
    <mergeCell ref="B29:B36"/>
    <mergeCell ref="B37:B40"/>
    <mergeCell ref="H12:H15"/>
    <mergeCell ref="C39:C40"/>
    <mergeCell ref="E16:E17"/>
    <mergeCell ref="D33:D36"/>
    <mergeCell ref="Q16:Q17"/>
    <mergeCell ref="H18:H19"/>
    <mergeCell ref="D5:D6"/>
    <mergeCell ref="D39:D40"/>
    <mergeCell ref="H5:H6"/>
    <mergeCell ref="C8:C15"/>
    <mergeCell ref="D8:D11"/>
    <mergeCell ref="D26:D27"/>
    <mergeCell ref="E18:E19"/>
    <mergeCell ref="H8:H11"/>
    <mergeCell ref="E12:E15"/>
    <mergeCell ref="C37:C38"/>
    <mergeCell ref="D29:D32"/>
    <mergeCell ref="B25:B28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0"/>
  <sheetViews>
    <sheetView tabSelected="1" workbookViewId="0">
      <selection activeCell="E13" sqref="E13:E16"/>
    </sheetView>
  </sheetViews>
  <sheetFormatPr baseColWidth="8" defaultRowHeight="16.5"/>
  <cols>
    <col width="14.375" bestFit="1" customWidth="1" style="63" min="2" max="2"/>
    <col width="9.5" bestFit="1" customWidth="1" style="63" min="6" max="6"/>
    <col width="10.875" bestFit="1" customWidth="1" style="63" min="7" max="9"/>
    <col width="13" customWidth="1" style="63" min="8" max="8"/>
    <col width="13" customWidth="1" style="63" min="9" max="9"/>
    <col width="13" customWidth="1" style="63" min="10" max="10"/>
    <col width="13" customWidth="1" style="63" min="11" max="11"/>
    <col width="13" customWidth="1" style="63" min="12" max="12"/>
    <col width="13" customWidth="1" style="63" min="13" max="13"/>
    <col width="13" customWidth="1" style="63" min="14" max="14"/>
    <col width="13" customWidth="1" style="63" min="15" max="15"/>
    <col width="13" customWidth="1" style="63" min="16" max="16"/>
    <col width="13" customWidth="1" style="63" min="17" max="17"/>
    <col width="13" customWidth="1" style="63" min="18" max="18"/>
    <col width="13" customWidth="1" style="63" min="19" max="19"/>
    <col width="13" customWidth="1" style="63" min="20" max="20"/>
    <col width="13" customWidth="1" style="63" min="21" max="21"/>
    <col width="13" customWidth="1" style="63" min="22" max="22"/>
    <col width="13" customWidth="1" style="63" min="23" max="23"/>
    <col width="13" customWidth="1" style="63" min="24" max="24"/>
    <col width="13" customWidth="1" style="63" min="25" max="25"/>
    <col width="13" customWidth="1" style="63" min="26" max="26"/>
    <col width="13" customWidth="1" style="63" min="27" max="27"/>
    <col width="13" customWidth="1" style="63" min="28" max="28"/>
    <col width="13" customWidth="1" style="63" min="29" max="29"/>
    <col width="13" customWidth="1" style="63" min="30" max="30"/>
    <col width="13" customWidth="1" style="63" min="31" max="31"/>
    <col width="13" customWidth="1" style="63" min="32" max="32"/>
    <col width="13" customWidth="1" style="63" min="33" max="33"/>
    <col width="13" customWidth="1" style="63" min="34" max="34"/>
    <col width="13" customWidth="1" style="63" min="35" max="35"/>
    <col width="13" customWidth="1" style="63" min="36" max="36"/>
    <col width="13" customWidth="1" style="63" min="37" max="37"/>
  </cols>
  <sheetData>
    <row r="1"/>
    <row r="2">
      <c r="C2" s="0" t="inlineStr">
        <is>
          <t>여기에 판매 시나리오 주차별로.</t>
        </is>
      </c>
    </row>
    <row r="3">
      <c r="C3" s="0" t="inlineStr">
        <is>
          <t>일 목표 판매량</t>
        </is>
      </c>
      <c r="D3" s="0" t="inlineStr">
        <is>
          <t>여기에 숫자 넣기</t>
        </is>
      </c>
      <c r="G3" s="76" t="n">
        <v>46313</v>
      </c>
      <c r="H3" s="76">
        <f>G3+7</f>
        <v/>
      </c>
      <c r="I3" s="76">
        <f>H3+7</f>
        <v/>
      </c>
      <c r="J3" s="76">
        <f>I3+7</f>
        <v/>
      </c>
      <c r="K3" s="76">
        <f>J3+7</f>
        <v/>
      </c>
      <c r="L3" s="76">
        <f>K3+7</f>
        <v/>
      </c>
      <c r="M3" s="76">
        <f>L3+7</f>
        <v/>
      </c>
      <c r="N3" s="76">
        <f>M3+7</f>
        <v/>
      </c>
      <c r="O3" s="76">
        <f>N3+7</f>
        <v/>
      </c>
      <c r="P3" s="76">
        <f>O3+7</f>
        <v/>
      </c>
      <c r="Q3" s="76">
        <f>P3+7</f>
        <v/>
      </c>
      <c r="R3" s="76">
        <f>Q3+7</f>
        <v/>
      </c>
      <c r="S3" s="76">
        <f>R3+7</f>
        <v/>
      </c>
      <c r="T3" s="76">
        <f>S3+7</f>
        <v/>
      </c>
      <c r="U3" s="76">
        <f>T3+7</f>
        <v/>
      </c>
      <c r="V3" s="76">
        <f>U3+7</f>
        <v/>
      </c>
      <c r="W3" s="76">
        <f>V3+7</f>
        <v/>
      </c>
      <c r="X3" s="76">
        <f>W3+7</f>
        <v/>
      </c>
      <c r="Y3" s="76">
        <f>X3+7</f>
        <v/>
      </c>
      <c r="Z3" s="76">
        <f>Y3+7</f>
        <v/>
      </c>
      <c r="AA3" s="76">
        <f>Z3+7</f>
        <v/>
      </c>
      <c r="AB3" s="76">
        <f>AA3+7</f>
        <v/>
      </c>
      <c r="AC3" s="76">
        <f>AB3+7</f>
        <v/>
      </c>
      <c r="AD3" s="76">
        <f>AC3+7</f>
        <v/>
      </c>
      <c r="AE3" s="76">
        <f>AD3+7</f>
        <v/>
      </c>
      <c r="AF3" s="76">
        <f>AE3+7</f>
        <v/>
      </c>
      <c r="AG3" s="76">
        <f>AF3+7</f>
        <v/>
      </c>
      <c r="AH3" s="76">
        <f>AG3+7</f>
        <v/>
      </c>
      <c r="AI3" s="76">
        <f>AH3+7</f>
        <v/>
      </c>
      <c r="AJ3" s="76">
        <f>AI3+7</f>
        <v/>
      </c>
      <c r="AK3" s="76">
        <f>AJ3+7</f>
        <v/>
      </c>
    </row>
    <row r="4">
      <c r="A4" s="0" t="inlineStr">
        <is>
          <t>기존 평균 판매량</t>
        </is>
      </c>
      <c r="B4" s="0" t="inlineStr">
        <is>
          <t>목표 일 판매량</t>
        </is>
      </c>
      <c r="G4" s="0" t="inlineStr">
        <is>
          <t>10월 3주차</t>
        </is>
      </c>
      <c r="H4" s="0" t="inlineStr">
        <is>
          <t>10월 4주차</t>
        </is>
      </c>
      <c r="I4" s="0" t="inlineStr">
        <is>
          <t>11월 1주차</t>
        </is>
      </c>
      <c r="J4">
        <f>MONTH(J3)&amp;"월 "&amp;ROUNDUP(DAY(J3)/7,0)&amp;"주차"</f>
        <v/>
      </c>
      <c r="K4">
        <f>MONTH(K3)&amp;"월 "&amp;ROUNDUP(DAY(K3)/7,0)&amp;"주차"</f>
        <v/>
      </c>
      <c r="L4">
        <f>MONTH(L3)&amp;"월 "&amp;ROUNDUP(DAY(L3)/7,0)&amp;"주차"</f>
        <v/>
      </c>
      <c r="M4">
        <f>MONTH(M3)&amp;"월 "&amp;ROUNDUP(DAY(M3)/7,0)&amp;"주차"</f>
        <v/>
      </c>
      <c r="N4">
        <f>MONTH(N3)&amp;"월 "&amp;ROUNDUP(DAY(N3)/7,0)&amp;"주차"</f>
        <v/>
      </c>
      <c r="O4">
        <f>MONTH(O3)&amp;"월 "&amp;ROUNDUP(DAY(O3)/7,0)&amp;"주차"</f>
        <v/>
      </c>
      <c r="P4">
        <f>MONTH(P3)&amp;"월 "&amp;ROUNDUP(DAY(P3)/7,0)&amp;"주차"</f>
        <v/>
      </c>
      <c r="Q4">
        <f>MONTH(Q3)&amp;"월 "&amp;ROUNDUP(DAY(Q3)/7,0)&amp;"주차"</f>
        <v/>
      </c>
      <c r="R4">
        <f>MONTH(R3)&amp;"월 "&amp;ROUNDUP(DAY(R3)/7,0)&amp;"주차"</f>
        <v/>
      </c>
      <c r="S4">
        <f>MONTH(S3)&amp;"월 "&amp;ROUNDUP(DAY(S3)/7,0)&amp;"주차"</f>
        <v/>
      </c>
      <c r="T4">
        <f>MONTH(T3)&amp;"월 "&amp;ROUNDUP(DAY(T3)/7,0)&amp;"주차"</f>
        <v/>
      </c>
      <c r="U4">
        <f>MONTH(U3)&amp;"월 "&amp;ROUNDUP(DAY(U3)/7,0)&amp;"주차"</f>
        <v/>
      </c>
      <c r="V4">
        <f>MONTH(V3)&amp;"월 "&amp;ROUNDUP(DAY(V3)/7,0)&amp;"주차"</f>
        <v/>
      </c>
      <c r="W4">
        <f>MONTH(W3)&amp;"월 "&amp;ROUNDUP(DAY(W3)/7,0)&amp;"주차"</f>
        <v/>
      </c>
      <c r="X4">
        <f>MONTH(X3)&amp;"월 "&amp;ROUNDUP(DAY(X3)/7,0)&amp;"주차"</f>
        <v/>
      </c>
      <c r="Y4">
        <f>MONTH(Y3)&amp;"월 "&amp;ROUNDUP(DAY(Y3)/7,0)&amp;"주차"</f>
        <v/>
      </c>
      <c r="Z4">
        <f>MONTH(Z3)&amp;"월 "&amp;ROUNDUP(DAY(Z3)/7,0)&amp;"주차"</f>
        <v/>
      </c>
      <c r="AA4">
        <f>MONTH(AA3)&amp;"월 "&amp;ROUNDUP(DAY(AA3)/7,0)&amp;"주차"</f>
        <v/>
      </c>
      <c r="AB4">
        <f>MONTH(AB3)&amp;"월 "&amp;ROUNDUP(DAY(AB3)/7,0)&amp;"주차"</f>
        <v/>
      </c>
      <c r="AC4">
        <f>MONTH(AC3)&amp;"월 "&amp;ROUNDUP(DAY(AC3)/7,0)&amp;"주차"</f>
        <v/>
      </c>
      <c r="AD4">
        <f>MONTH(AD3)&amp;"월 "&amp;ROUNDUP(DAY(AD3)/7,0)&amp;"주차"</f>
        <v/>
      </c>
      <c r="AE4">
        <f>MONTH(AE3)&amp;"월 "&amp;ROUNDUP(DAY(AE3)/7,0)&amp;"주차"</f>
        <v/>
      </c>
      <c r="AF4">
        <f>MONTH(AF3)&amp;"월 "&amp;ROUNDUP(DAY(AF3)/7,0)&amp;"주차"</f>
        <v/>
      </c>
      <c r="AG4">
        <f>MONTH(AG3)&amp;"월 "&amp;ROUNDUP(DAY(AG3)/7,0)&amp;"주차"</f>
        <v/>
      </c>
      <c r="AH4">
        <f>MONTH(AH3)&amp;"월 "&amp;ROUNDUP(DAY(AH3)/7,0)&amp;"주차"</f>
        <v/>
      </c>
      <c r="AI4">
        <f>MONTH(AI3)&amp;"월 "&amp;ROUNDUP(DAY(AI3)/7,0)&amp;"주차"</f>
        <v/>
      </c>
      <c r="AJ4">
        <f>MONTH(AJ3)&amp;"월 "&amp;ROUNDUP(DAY(AJ3)/7,0)&amp;"주차"</f>
        <v/>
      </c>
      <c r="AK4">
        <f>MONTH(AK3)&amp;"월 "&amp;ROUNDUP(DAY(AK3)/7,0)&amp;"주차"</f>
        <v/>
      </c>
    </row>
    <row r="5">
      <c r="A5" s="6">
        <f>4*24/30</f>
        <v/>
      </c>
      <c r="B5" s="77" t="n"/>
      <c r="C5" s="37" t="inlineStr">
        <is>
          <t>치킨</t>
        </is>
      </c>
      <c r="D5" s="37" t="inlineStr">
        <is>
          <t>28g</t>
        </is>
      </c>
      <c r="E5" s="37" t="inlineStr">
        <is>
          <t>CBTE-1</t>
        </is>
      </c>
      <c r="F5" s="51" t="n">
        <v>46493</v>
      </c>
      <c r="G5" s="78">
        <f>MIN('데이터 기본'!$G4,MAX(0,SUM('데이터 기본'!$G$4:$G4)-IF($B$5="",$A$5,$B$5)*MAX(0,G$3-'데이터 기본'!$B$1)))</f>
        <v/>
      </c>
      <c r="H5" s="79">
        <f>MIN('데이터 기본'!$G4,MAX(0,SUM('데이터 기본'!$G$4:$G4)-IF($B$5="",$A$5,$B$5)*MAX(0,H$3-'데이터 기본'!$B$1)))</f>
        <v/>
      </c>
      <c r="I5" s="79">
        <f>MIN('데이터 기본'!$G4,MAX(0,SUM('데이터 기본'!$G$4:$G4)-IF($B$5="",$A$5,$B$5)*MAX(0,I$3-'데이터 기본'!$B$1)))</f>
        <v/>
      </c>
      <c r="J5" s="79">
        <f>MIN('데이터 기본'!$G4,MAX(0,SUM('데이터 기본'!$G$4:$G4)-IF($B$5="",$A$5,$B$5)*MAX(0,J$3-'데이터 기본'!$B$1)))</f>
        <v/>
      </c>
      <c r="K5" s="79">
        <f>MIN('데이터 기본'!$G4,MAX(0,SUM('데이터 기본'!$G$4:$G4)-IF($B$5="",$A$5,$B$5)*MAX(0,K$3-'데이터 기본'!$B$1)))</f>
        <v/>
      </c>
      <c r="L5" s="79">
        <f>MIN('데이터 기본'!$G4,MAX(0,SUM('데이터 기본'!$G$4:$G4)-IF($B$5="",$A$5,$B$5)*MAX(0,L$3-'데이터 기본'!$B$1)))</f>
        <v/>
      </c>
      <c r="M5" s="79">
        <f>MIN('데이터 기본'!$G4,MAX(0,SUM('데이터 기본'!$G$4:$G4)-IF($B$5="",$A$5,$B$5)*MAX(0,M$3-'데이터 기본'!$B$1)))</f>
        <v/>
      </c>
      <c r="N5" s="79">
        <f>MIN('데이터 기본'!$G4,MAX(0,SUM('데이터 기본'!$G$4:$G4)-IF($B$5="",$A$5,$B$5)*MAX(0,N$3-'데이터 기본'!$B$1)))</f>
        <v/>
      </c>
      <c r="O5" s="79">
        <f>MIN('데이터 기본'!$G4,MAX(0,SUM('데이터 기본'!$G$4:$G4)-IF($B$5="",$A$5,$B$5)*MAX(0,O$3-'데이터 기본'!$B$1)))</f>
        <v/>
      </c>
      <c r="P5" s="79">
        <f>MIN('데이터 기본'!$G4,MAX(0,SUM('데이터 기본'!$G$4:$G4)-IF($B$5="",$A$5,$B$5)*MAX(0,P$3-'데이터 기본'!$B$1)))</f>
        <v/>
      </c>
      <c r="Q5" s="79">
        <f>MIN('데이터 기본'!$G4,MAX(0,SUM('데이터 기본'!$G$4:$G4)-IF($B$5="",$A$5,$B$5)*MAX(0,Q$3-'데이터 기본'!$B$1)))</f>
        <v/>
      </c>
      <c r="R5" s="79">
        <f>MIN('데이터 기본'!$G4,MAX(0,SUM('데이터 기본'!$G$4:$G4)-IF($B$5="",$A$5,$B$5)*MAX(0,R$3-'데이터 기본'!$B$1)))</f>
        <v/>
      </c>
      <c r="S5" s="79">
        <f>MIN('데이터 기본'!$G4,MAX(0,SUM('데이터 기본'!$G$4:$G4)-IF($B$5="",$A$5,$B$5)*MAX(0,S$3-'데이터 기본'!$B$1)))</f>
        <v/>
      </c>
      <c r="T5" s="79">
        <f>MIN('데이터 기본'!$G4,MAX(0,SUM('데이터 기본'!$G$4:$G4)-IF($B$5="",$A$5,$B$5)*MAX(0,T$3-'데이터 기본'!$B$1)))</f>
        <v/>
      </c>
      <c r="U5" s="79">
        <f>MIN('데이터 기본'!$G4,MAX(0,SUM('데이터 기본'!$G$4:$G4)-IF($B$5="",$A$5,$B$5)*MAX(0,U$3-'데이터 기본'!$B$1)))</f>
        <v/>
      </c>
      <c r="V5" s="79">
        <f>MIN('데이터 기본'!$G4,MAX(0,SUM('데이터 기본'!$G$4:$G4)-IF($B$5="",$A$5,$B$5)*MAX(0,V$3-'데이터 기본'!$B$1)))</f>
        <v/>
      </c>
      <c r="W5" s="79">
        <f>MIN('데이터 기본'!$G4,MAX(0,SUM('데이터 기본'!$G$4:$G4)-IF($B$5="",$A$5,$B$5)*MAX(0,W$3-'데이터 기본'!$B$1)))</f>
        <v/>
      </c>
      <c r="X5" s="79">
        <f>MIN('데이터 기본'!$G4,MAX(0,SUM('데이터 기본'!$G$4:$G4)-IF($B$5="",$A$5,$B$5)*MAX(0,X$3-'데이터 기본'!$B$1)))</f>
        <v/>
      </c>
      <c r="Y5" s="79">
        <f>MIN('데이터 기본'!$G4,MAX(0,SUM('데이터 기본'!$G$4:$G4)-IF($B$5="",$A$5,$B$5)*MAX(0,Y$3-'데이터 기본'!$B$1)))</f>
        <v/>
      </c>
      <c r="Z5" s="79">
        <f>MIN('데이터 기본'!$G4,MAX(0,SUM('데이터 기본'!$G$4:$G4)-IF($B$5="",$A$5,$B$5)*MAX(0,Z$3-'데이터 기본'!$B$1)))</f>
        <v/>
      </c>
      <c r="AA5" s="79">
        <f>MIN('데이터 기본'!$G4,MAX(0,SUM('데이터 기본'!$G$4:$G4)-IF($B$5="",$A$5,$B$5)*MAX(0,AA$3-'데이터 기본'!$B$1)))</f>
        <v/>
      </c>
      <c r="AB5" s="79">
        <f>MIN('데이터 기본'!$G4,MAX(0,SUM('데이터 기본'!$G$4:$G4)-IF($B$5="",$A$5,$B$5)*MAX(0,AB$3-'데이터 기본'!$B$1)))</f>
        <v/>
      </c>
      <c r="AC5" s="79">
        <f>MIN('데이터 기본'!$G4,MAX(0,SUM('데이터 기본'!$G$4:$G4)-IF($B$5="",$A$5,$B$5)*MAX(0,AC$3-'데이터 기본'!$B$1)))</f>
        <v/>
      </c>
      <c r="AD5" s="80">
        <f>MIN('데이터 기본'!$G4,MAX(0,SUM('데이터 기본'!$G$4:$G4)-IF($B$5="",$A$5,$B$5)*MAX(0,AD$3-'데이터 기본'!$B$1)))</f>
        <v/>
      </c>
      <c r="AE5" s="80">
        <f>MIN('데이터 기본'!$G4,MAX(0,SUM('데이터 기본'!$G$4:$G4)-IF($B$5="",$A$5,$B$5)*MAX(0,AE$3-'데이터 기본'!$B$1)))</f>
        <v/>
      </c>
      <c r="AF5" s="80">
        <f>MIN('데이터 기본'!$G4,MAX(0,SUM('데이터 기본'!$G$4:$G4)-IF($B$5="",$A$5,$B$5)*MAX(0,AF$3-'데이터 기본'!$B$1)))</f>
        <v/>
      </c>
      <c r="AG5" s="80">
        <f>MIN('데이터 기본'!$G4,MAX(0,SUM('데이터 기본'!$G$4:$G4)-IF($B$5="",$A$5,$B$5)*MAX(0,AG$3-'데이터 기본'!$B$1)))</f>
        <v/>
      </c>
      <c r="AH5" s="80">
        <f>MIN('데이터 기본'!$G4,MAX(0,SUM('데이터 기본'!$G$4:$G4)-IF($B$5="",$A$5,$B$5)*MAX(0,AH$3-'데이터 기본'!$B$1)))</f>
        <v/>
      </c>
      <c r="AI5" s="80">
        <f>MIN('데이터 기본'!$G4,MAX(0,SUM('데이터 기본'!$G$4:$G4)-IF($B$5="",$A$5,$B$5)*MAX(0,AI$3-'데이터 기본'!$B$1)))</f>
        <v/>
      </c>
      <c r="AJ5" s="80">
        <f>MIN('데이터 기본'!$G4,MAX(0,SUM('데이터 기본'!$G$4:$G4)-IF($B$5="",$A$5,$B$5)*MAX(0,AJ$3-'데이터 기본'!$B$1)))</f>
        <v/>
      </c>
      <c r="AK5" s="80">
        <f>MIN('데이터 기본'!$G4,MAX(0,SUM('데이터 기본'!$G$4:$G4)-IF($B$5="",$A$5,$B$5)*MAX(0,AK$3-'데이터 기본'!$B$1)))</f>
        <v/>
      </c>
    </row>
    <row r="6">
      <c r="A6" s="10">
        <f>6*8/30</f>
        <v/>
      </c>
      <c r="B6" s="77" t="n"/>
      <c r="C6" s="69" t="n"/>
      <c r="D6" s="32" t="inlineStr">
        <is>
          <t>198g</t>
        </is>
      </c>
      <c r="E6" s="32" t="inlineStr">
        <is>
          <t>CBTE-7</t>
        </is>
      </c>
      <c r="F6" s="52" t="n">
        <v>46475</v>
      </c>
      <c r="G6" s="81">
        <f>MIN('데이터 기본'!$G5,MAX(0,SUM('데이터 기본'!$G$5:$G5)-IF($B$6="",$A$6,$B$6)*MAX(0,G$3-'데이터 기본'!$B$1)))</f>
        <v/>
      </c>
      <c r="H6" s="82">
        <f>MIN('데이터 기본'!$G5,MAX(0,SUM('데이터 기본'!$G$5:$G5)-IF($B$6="",$A$6,$B$6)*MAX(0,H$3-'데이터 기본'!$B$1)))</f>
        <v/>
      </c>
      <c r="I6" s="82">
        <f>MIN('데이터 기본'!$G5,MAX(0,SUM('데이터 기본'!$G$5:$G5)-IF($B$6="",$A$6,$B$6)*MAX(0,I$3-'데이터 기본'!$B$1)))</f>
        <v/>
      </c>
      <c r="J6" s="82">
        <f>MIN('데이터 기본'!$G5,MAX(0,SUM('데이터 기본'!$G$5:$G5)-IF($B$6="",$A$6,$B$6)*MAX(0,J$3-'데이터 기본'!$B$1)))</f>
        <v/>
      </c>
      <c r="K6" s="82">
        <f>MIN('데이터 기본'!$G5,MAX(0,SUM('데이터 기본'!$G$5:$G5)-IF($B$6="",$A$6,$B$6)*MAX(0,K$3-'데이터 기본'!$B$1)))</f>
        <v/>
      </c>
      <c r="L6" s="82">
        <f>MIN('데이터 기본'!$G5,MAX(0,SUM('데이터 기본'!$G$5:$G5)-IF($B$6="",$A$6,$B$6)*MAX(0,L$3-'데이터 기본'!$B$1)))</f>
        <v/>
      </c>
      <c r="M6" s="82">
        <f>MIN('데이터 기본'!$G5,MAX(0,SUM('데이터 기본'!$G$5:$G5)-IF($B$6="",$A$6,$B$6)*MAX(0,M$3-'데이터 기본'!$B$1)))</f>
        <v/>
      </c>
      <c r="N6" s="82">
        <f>MIN('데이터 기본'!$G5,MAX(0,SUM('데이터 기본'!$G$5:$G5)-IF($B$6="",$A$6,$B$6)*MAX(0,N$3-'데이터 기본'!$B$1)))</f>
        <v/>
      </c>
      <c r="O6" s="82">
        <f>MIN('데이터 기본'!$G5,MAX(0,SUM('데이터 기본'!$G$5:$G5)-IF($B$6="",$A$6,$B$6)*MAX(0,O$3-'데이터 기본'!$B$1)))</f>
        <v/>
      </c>
      <c r="P6" s="82">
        <f>MIN('데이터 기본'!$G5,MAX(0,SUM('데이터 기본'!$G$5:$G5)-IF($B$6="",$A$6,$B$6)*MAX(0,P$3-'데이터 기본'!$B$1)))</f>
        <v/>
      </c>
      <c r="Q6" s="82">
        <f>MIN('데이터 기본'!$G5,MAX(0,SUM('데이터 기본'!$G$5:$G5)-IF($B$6="",$A$6,$B$6)*MAX(0,Q$3-'데이터 기본'!$B$1)))</f>
        <v/>
      </c>
      <c r="R6" s="82">
        <f>MIN('데이터 기본'!$G5,MAX(0,SUM('데이터 기본'!$G$5:$G5)-IF($B$6="",$A$6,$B$6)*MAX(0,R$3-'데이터 기본'!$B$1)))</f>
        <v/>
      </c>
      <c r="S6" s="82">
        <f>MIN('데이터 기본'!$G5,MAX(0,SUM('데이터 기본'!$G$5:$G5)-IF($B$6="",$A$6,$B$6)*MAX(0,S$3-'데이터 기본'!$B$1)))</f>
        <v/>
      </c>
      <c r="T6" s="82">
        <f>MIN('데이터 기본'!$G5,MAX(0,SUM('데이터 기본'!$G$5:$G5)-IF($B$6="",$A$6,$B$6)*MAX(0,T$3-'데이터 기본'!$B$1)))</f>
        <v/>
      </c>
      <c r="U6" s="82">
        <f>MIN('데이터 기본'!$G5,MAX(0,SUM('데이터 기본'!$G$5:$G5)-IF($B$6="",$A$6,$B$6)*MAX(0,U$3-'데이터 기본'!$B$1)))</f>
        <v/>
      </c>
      <c r="V6" s="82">
        <f>MIN('데이터 기본'!$G5,MAX(0,SUM('데이터 기본'!$G$5:$G5)-IF($B$6="",$A$6,$B$6)*MAX(0,V$3-'데이터 기본'!$B$1)))</f>
        <v/>
      </c>
      <c r="W6" s="82">
        <f>MIN('데이터 기본'!$G5,MAX(0,SUM('데이터 기본'!$G$5:$G5)-IF($B$6="",$A$6,$B$6)*MAX(0,W$3-'데이터 기본'!$B$1)))</f>
        <v/>
      </c>
      <c r="X6" s="82">
        <f>MIN('데이터 기본'!$G5,MAX(0,SUM('데이터 기본'!$G$5:$G5)-IF($B$6="",$A$6,$B$6)*MAX(0,X$3-'데이터 기본'!$B$1)))</f>
        <v/>
      </c>
      <c r="Y6" s="82">
        <f>MIN('데이터 기본'!$G5,MAX(0,SUM('데이터 기본'!$G$5:$G5)-IF($B$6="",$A$6,$B$6)*MAX(0,Y$3-'데이터 기본'!$B$1)))</f>
        <v/>
      </c>
      <c r="Z6" s="82">
        <f>MIN('데이터 기본'!$G5,MAX(0,SUM('데이터 기본'!$G$5:$G5)-IF($B$6="",$A$6,$B$6)*MAX(0,Z$3-'데이터 기본'!$B$1)))</f>
        <v/>
      </c>
      <c r="AA6" s="82">
        <f>MIN('데이터 기본'!$G5,MAX(0,SUM('데이터 기본'!$G$5:$G5)-IF($B$6="",$A$6,$B$6)*MAX(0,AA$3-'데이터 기본'!$B$1)))</f>
        <v/>
      </c>
      <c r="AB6" s="82">
        <f>MIN('데이터 기본'!$G5,MAX(0,SUM('데이터 기본'!$G$5:$G5)-IF($B$6="",$A$6,$B$6)*MAX(0,AB$3-'데이터 기본'!$B$1)))</f>
        <v/>
      </c>
      <c r="AC6" s="82">
        <f>MIN('데이터 기본'!$G5,MAX(0,SUM('데이터 기본'!$G$5:$G5)-IF($B$6="",$A$6,$B$6)*MAX(0,AC$3-'데이터 기본'!$B$1)))</f>
        <v/>
      </c>
      <c r="AD6" s="83">
        <f>MIN('데이터 기본'!$G5,MAX(0,SUM('데이터 기본'!$G$5:$G5)-IF($B$6="",$A$6,$B$6)*MAX(0,AD$3-'데이터 기본'!$B$1)))</f>
        <v/>
      </c>
      <c r="AE6" s="83">
        <f>MIN('데이터 기본'!$G5,MAX(0,SUM('데이터 기본'!$G$5:$G5)-IF($B$6="",$A$6,$B$6)*MAX(0,AE$3-'데이터 기본'!$B$1)))</f>
        <v/>
      </c>
      <c r="AF6" s="83">
        <f>MIN('데이터 기본'!$G5,MAX(0,SUM('데이터 기본'!$G$5:$G5)-IF($B$6="",$A$6,$B$6)*MAX(0,AF$3-'데이터 기본'!$B$1)))</f>
        <v/>
      </c>
      <c r="AG6" s="83">
        <f>MIN('데이터 기본'!$G5,MAX(0,SUM('데이터 기본'!$G$5:$G5)-IF($B$6="",$A$6,$B$6)*MAX(0,AG$3-'데이터 기본'!$B$1)))</f>
        <v/>
      </c>
      <c r="AH6" s="83">
        <f>MIN('데이터 기본'!$G5,MAX(0,SUM('데이터 기본'!$G$5:$G5)-IF($B$6="",$A$6,$B$6)*MAX(0,AH$3-'데이터 기본'!$B$1)))</f>
        <v/>
      </c>
      <c r="AI6" s="83">
        <f>MIN('데이터 기본'!$G5,MAX(0,SUM('데이터 기본'!$G$5:$G5)-IF($B$6="",$A$6,$B$6)*MAX(0,AI$3-'데이터 기본'!$B$1)))</f>
        <v/>
      </c>
      <c r="AJ6" s="83">
        <f>MIN('데이터 기본'!$G5,MAX(0,SUM('데이터 기본'!$G$5:$G5)-IF($B$6="",$A$6,$B$6)*MAX(0,AJ$3-'데이터 기본'!$B$1)))</f>
        <v/>
      </c>
      <c r="AK6" s="83">
        <f>MIN('데이터 기본'!$G5,MAX(0,SUM('데이터 기본'!$G$5:$G5)-IF($B$6="",$A$6,$B$6)*MAX(0,AK$3-'데이터 기본'!$B$1)))</f>
        <v/>
      </c>
    </row>
    <row r="7">
      <c r="A7" s="71" t="n"/>
      <c r="C7" s="69" t="n"/>
      <c r="D7" s="70" t="n"/>
      <c r="E7" s="70" t="n"/>
      <c r="F7" s="52" t="n">
        <v>46514</v>
      </c>
      <c r="G7" s="81">
        <f>MIN('데이터 기본'!$G6,MAX(0,SUM('데이터 기본'!$G$5:$G6)-IF($B$6="",$A$6,$B$6)*MAX(0,G$3-'데이터 기본'!$B$1)))</f>
        <v/>
      </c>
      <c r="H7" s="82">
        <f>MIN('데이터 기본'!$G6,MAX(0,SUM('데이터 기본'!$G$5:$G6)-IF($B$6="",$A$6,$B$6)*MAX(0,H$3-'데이터 기본'!$B$1)))</f>
        <v/>
      </c>
      <c r="I7" s="82">
        <f>MIN('데이터 기본'!$G6,MAX(0,SUM('데이터 기본'!$G$5:$G6)-IF($B$6="",$A$6,$B$6)*MAX(0,I$3-'데이터 기본'!$B$1)))</f>
        <v/>
      </c>
      <c r="J7" s="82">
        <f>MIN('데이터 기본'!$G6,MAX(0,SUM('데이터 기본'!$G$5:$G6)-IF($B$6="",$A$6,$B$6)*MAX(0,J$3-'데이터 기본'!$B$1)))</f>
        <v/>
      </c>
      <c r="K7" s="82">
        <f>MIN('데이터 기본'!$G6,MAX(0,SUM('데이터 기본'!$G$5:$G6)-IF($B$6="",$A$6,$B$6)*MAX(0,K$3-'데이터 기본'!$B$1)))</f>
        <v/>
      </c>
      <c r="L7" s="82">
        <f>MIN('데이터 기본'!$G6,MAX(0,SUM('데이터 기본'!$G$5:$G6)-IF($B$6="",$A$6,$B$6)*MAX(0,L$3-'데이터 기본'!$B$1)))</f>
        <v/>
      </c>
      <c r="M7" s="82">
        <f>MIN('데이터 기본'!$G6,MAX(0,SUM('데이터 기본'!$G$5:$G6)-IF($B$6="",$A$6,$B$6)*MAX(0,M$3-'데이터 기본'!$B$1)))</f>
        <v/>
      </c>
      <c r="N7" s="82">
        <f>MIN('데이터 기본'!$G6,MAX(0,SUM('데이터 기본'!$G$5:$G6)-IF($B$6="",$A$6,$B$6)*MAX(0,N$3-'데이터 기본'!$B$1)))</f>
        <v/>
      </c>
      <c r="O7" s="82">
        <f>MIN('데이터 기본'!$G6,MAX(0,SUM('데이터 기본'!$G$5:$G6)-IF($B$6="",$A$6,$B$6)*MAX(0,O$3-'데이터 기본'!$B$1)))</f>
        <v/>
      </c>
      <c r="P7" s="82">
        <f>MIN('데이터 기본'!$G6,MAX(0,SUM('데이터 기본'!$G$5:$G6)-IF($B$6="",$A$6,$B$6)*MAX(0,P$3-'데이터 기본'!$B$1)))</f>
        <v/>
      </c>
      <c r="Q7" s="82">
        <f>MIN('데이터 기본'!$G6,MAX(0,SUM('데이터 기본'!$G$5:$G6)-IF($B$6="",$A$6,$B$6)*MAX(0,Q$3-'데이터 기본'!$B$1)))</f>
        <v/>
      </c>
      <c r="R7" s="82">
        <f>MIN('데이터 기본'!$G6,MAX(0,SUM('데이터 기본'!$G$5:$G6)-IF($B$6="",$A$6,$B$6)*MAX(0,R$3-'데이터 기본'!$B$1)))</f>
        <v/>
      </c>
      <c r="S7" s="82">
        <f>MIN('데이터 기본'!$G6,MAX(0,SUM('데이터 기본'!$G$5:$G6)-IF($B$6="",$A$6,$B$6)*MAX(0,S$3-'데이터 기본'!$B$1)))</f>
        <v/>
      </c>
      <c r="T7" s="82">
        <f>MIN('데이터 기본'!$G6,MAX(0,SUM('데이터 기본'!$G$5:$G6)-IF($B$6="",$A$6,$B$6)*MAX(0,T$3-'데이터 기본'!$B$1)))</f>
        <v/>
      </c>
      <c r="U7" s="82">
        <f>MIN('데이터 기본'!$G6,MAX(0,SUM('데이터 기본'!$G$5:$G6)-IF($B$6="",$A$6,$B$6)*MAX(0,U$3-'데이터 기본'!$B$1)))</f>
        <v/>
      </c>
      <c r="V7" s="82">
        <f>MIN('데이터 기본'!$G6,MAX(0,SUM('데이터 기본'!$G$5:$G6)-IF($B$6="",$A$6,$B$6)*MAX(0,V$3-'데이터 기본'!$B$1)))</f>
        <v/>
      </c>
      <c r="W7" s="82">
        <f>MIN('데이터 기본'!$G6,MAX(0,SUM('데이터 기본'!$G$5:$G6)-IF($B$6="",$A$6,$B$6)*MAX(0,W$3-'데이터 기본'!$B$1)))</f>
        <v/>
      </c>
      <c r="X7" s="82">
        <f>MIN('데이터 기본'!$G6,MAX(0,SUM('데이터 기본'!$G$5:$G6)-IF($B$6="",$A$6,$B$6)*MAX(0,X$3-'데이터 기본'!$B$1)))</f>
        <v/>
      </c>
      <c r="Y7" s="82">
        <f>MIN('데이터 기본'!$G6,MAX(0,SUM('데이터 기본'!$G$5:$G6)-IF($B$6="",$A$6,$B$6)*MAX(0,Y$3-'데이터 기본'!$B$1)))</f>
        <v/>
      </c>
      <c r="Z7" s="82">
        <f>MIN('데이터 기본'!$G6,MAX(0,SUM('데이터 기본'!$G$5:$G6)-IF($B$6="",$A$6,$B$6)*MAX(0,Z$3-'데이터 기본'!$B$1)))</f>
        <v/>
      </c>
      <c r="AA7" s="82">
        <f>MIN('데이터 기본'!$G6,MAX(0,SUM('데이터 기본'!$G$5:$G6)-IF($B$6="",$A$6,$B$6)*MAX(0,AA$3-'데이터 기본'!$B$1)))</f>
        <v/>
      </c>
      <c r="AB7" s="82">
        <f>MIN('데이터 기본'!$G6,MAX(0,SUM('데이터 기본'!$G$5:$G6)-IF($B$6="",$A$6,$B$6)*MAX(0,AB$3-'데이터 기본'!$B$1)))</f>
        <v/>
      </c>
      <c r="AC7" s="82">
        <f>MIN('데이터 기본'!$G6,MAX(0,SUM('데이터 기본'!$G$5:$G6)-IF($B$6="",$A$6,$B$6)*MAX(0,AC$3-'데이터 기본'!$B$1)))</f>
        <v/>
      </c>
      <c r="AD7" s="83">
        <f>MIN('데이터 기본'!$G6,MAX(0,SUM('데이터 기본'!$G$5:$G6)-IF($B$6="",$A$6,$B$6)*MAX(0,AD$3-'데이터 기본'!$B$1)))</f>
        <v/>
      </c>
      <c r="AE7" s="83">
        <f>MIN('데이터 기본'!$G6,MAX(0,SUM('데이터 기본'!$G$5:$G6)-IF($B$6="",$A$6,$B$6)*MAX(0,AE$3-'데이터 기본'!$B$1)))</f>
        <v/>
      </c>
      <c r="AF7" s="83">
        <f>MIN('데이터 기본'!$G6,MAX(0,SUM('데이터 기본'!$G$5:$G6)-IF($B$6="",$A$6,$B$6)*MAX(0,AF$3-'데이터 기본'!$B$1)))</f>
        <v/>
      </c>
      <c r="AG7" s="83">
        <f>MIN('데이터 기본'!$G6,MAX(0,SUM('데이터 기본'!$G$5:$G6)-IF($B$6="",$A$6,$B$6)*MAX(0,AG$3-'데이터 기본'!$B$1)))</f>
        <v/>
      </c>
      <c r="AH7" s="83">
        <f>MIN('데이터 기본'!$G6,MAX(0,SUM('데이터 기본'!$G$5:$G6)-IF($B$6="",$A$6,$B$6)*MAX(0,AH$3-'데이터 기본'!$B$1)))</f>
        <v/>
      </c>
      <c r="AI7" s="83">
        <f>MIN('데이터 기본'!$G6,MAX(0,SUM('데이터 기본'!$G$5:$G6)-IF($B$6="",$A$6,$B$6)*MAX(0,AI$3-'데이터 기본'!$B$1)))</f>
        <v/>
      </c>
      <c r="AJ7" s="83">
        <f>MIN('데이터 기본'!$G6,MAX(0,SUM('데이터 기본'!$G$5:$G6)-IF($B$6="",$A$6,$B$6)*MAX(0,AJ$3-'데이터 기본'!$B$1)))</f>
        <v/>
      </c>
      <c r="AK7" s="83">
        <f>MIN('데이터 기본'!$G6,MAX(0,SUM('데이터 기본'!$G$5:$G6)-IF($B$6="",$A$6,$B$6)*MAX(0,AK$3-'데이터 기본'!$B$1)))</f>
        <v/>
      </c>
    </row>
    <row r="8">
      <c r="A8" s="10">
        <f>5*4/30</f>
        <v/>
      </c>
      <c r="B8" s="77" t="n"/>
      <c r="C8" s="70" t="n"/>
      <c r="D8" s="32" t="inlineStr">
        <is>
          <t>567g</t>
        </is>
      </c>
      <c r="E8" s="32" t="inlineStr">
        <is>
          <t>CBTE-20</t>
        </is>
      </c>
      <c r="F8" s="52" t="n">
        <v>46508</v>
      </c>
      <c r="G8" s="81">
        <f>MIN('데이터 기본'!$G7,MAX(0,SUM('데이터 기본'!$G$7:$G7)-IF($B$8="",$A$8,$B$8)*MAX(0,G$3-'데이터 기본'!$B$1)))</f>
        <v/>
      </c>
      <c r="H8" s="82">
        <f>MIN('데이터 기본'!$G7,MAX(0,SUM('데이터 기본'!$G$7:$G7)-IF($B$8="",$A$8,$B$8)*MAX(0,H$3-'데이터 기본'!$B$1)))</f>
        <v/>
      </c>
      <c r="I8" s="82">
        <f>MIN('데이터 기본'!$G7,MAX(0,SUM('데이터 기본'!$G$7:$G7)-IF($B$8="",$A$8,$B$8)*MAX(0,I$3-'데이터 기본'!$B$1)))</f>
        <v/>
      </c>
      <c r="J8" s="82">
        <f>MIN('데이터 기본'!$G7,MAX(0,SUM('데이터 기본'!$G$7:$G7)-IF($B$8="",$A$8,$B$8)*MAX(0,J$3-'데이터 기본'!$B$1)))</f>
        <v/>
      </c>
      <c r="K8" s="82">
        <f>MIN('데이터 기본'!$G7,MAX(0,SUM('데이터 기본'!$G$7:$G7)-IF($B$8="",$A$8,$B$8)*MAX(0,K$3-'데이터 기본'!$B$1)))</f>
        <v/>
      </c>
      <c r="L8" s="82">
        <f>MIN('데이터 기본'!$G7,MAX(0,SUM('데이터 기본'!$G$7:$G7)-IF($B$8="",$A$8,$B$8)*MAX(0,L$3-'데이터 기본'!$B$1)))</f>
        <v/>
      </c>
      <c r="M8" s="82">
        <f>MIN('데이터 기본'!$G7,MAX(0,SUM('데이터 기본'!$G$7:$G7)-IF($B$8="",$A$8,$B$8)*MAX(0,M$3-'데이터 기본'!$B$1)))</f>
        <v/>
      </c>
      <c r="N8" s="82">
        <f>MIN('데이터 기본'!$G7,MAX(0,SUM('데이터 기본'!$G$7:$G7)-IF($B$8="",$A$8,$B$8)*MAX(0,N$3-'데이터 기본'!$B$1)))</f>
        <v/>
      </c>
      <c r="O8" s="82">
        <f>MIN('데이터 기본'!$G7,MAX(0,SUM('데이터 기본'!$G$7:$G7)-IF($B$8="",$A$8,$B$8)*MAX(0,O$3-'데이터 기본'!$B$1)))</f>
        <v/>
      </c>
      <c r="P8" s="82">
        <f>MIN('데이터 기본'!$G7,MAX(0,SUM('데이터 기본'!$G$7:$G7)-IF($B$8="",$A$8,$B$8)*MAX(0,P$3-'데이터 기본'!$B$1)))</f>
        <v/>
      </c>
      <c r="Q8" s="82">
        <f>MIN('데이터 기본'!$G7,MAX(0,SUM('데이터 기본'!$G$7:$G7)-IF($B$8="",$A$8,$B$8)*MAX(0,Q$3-'데이터 기본'!$B$1)))</f>
        <v/>
      </c>
      <c r="R8" s="82">
        <f>MIN('데이터 기본'!$G7,MAX(0,SUM('데이터 기본'!$G$7:$G7)-IF($B$8="",$A$8,$B$8)*MAX(0,R$3-'데이터 기본'!$B$1)))</f>
        <v/>
      </c>
      <c r="S8" s="82">
        <f>MIN('데이터 기본'!$G7,MAX(0,SUM('데이터 기본'!$G$7:$G7)-IF($B$8="",$A$8,$B$8)*MAX(0,S$3-'데이터 기본'!$B$1)))</f>
        <v/>
      </c>
      <c r="T8" s="82">
        <f>MIN('데이터 기본'!$G7,MAX(0,SUM('데이터 기본'!$G$7:$G7)-IF($B$8="",$A$8,$B$8)*MAX(0,T$3-'데이터 기본'!$B$1)))</f>
        <v/>
      </c>
      <c r="U8" s="82">
        <f>MIN('데이터 기본'!$G7,MAX(0,SUM('데이터 기본'!$G$7:$G7)-IF($B$8="",$A$8,$B$8)*MAX(0,U$3-'데이터 기본'!$B$1)))</f>
        <v/>
      </c>
      <c r="V8" s="82">
        <f>MIN('데이터 기본'!$G7,MAX(0,SUM('데이터 기본'!$G$7:$G7)-IF($B$8="",$A$8,$B$8)*MAX(0,V$3-'데이터 기본'!$B$1)))</f>
        <v/>
      </c>
      <c r="W8" s="82">
        <f>MIN('데이터 기본'!$G7,MAX(0,SUM('데이터 기본'!$G$7:$G7)-IF($B$8="",$A$8,$B$8)*MAX(0,W$3-'데이터 기본'!$B$1)))</f>
        <v/>
      </c>
      <c r="X8" s="82">
        <f>MIN('데이터 기본'!$G7,MAX(0,SUM('데이터 기본'!$G$7:$G7)-IF($B$8="",$A$8,$B$8)*MAX(0,X$3-'데이터 기본'!$B$1)))</f>
        <v/>
      </c>
      <c r="Y8" s="82">
        <f>MIN('데이터 기본'!$G7,MAX(0,SUM('데이터 기본'!$G$7:$G7)-IF($B$8="",$A$8,$B$8)*MAX(0,Y$3-'데이터 기본'!$B$1)))</f>
        <v/>
      </c>
      <c r="Z8" s="82">
        <f>MIN('데이터 기본'!$G7,MAX(0,SUM('데이터 기본'!$G$7:$G7)-IF($B$8="",$A$8,$B$8)*MAX(0,Z$3-'데이터 기본'!$B$1)))</f>
        <v/>
      </c>
      <c r="AA8" s="82">
        <f>MIN('데이터 기본'!$G7,MAX(0,SUM('데이터 기본'!$G$7:$G7)-IF($B$8="",$A$8,$B$8)*MAX(0,AA$3-'데이터 기본'!$B$1)))</f>
        <v/>
      </c>
      <c r="AB8" s="82">
        <f>MIN('데이터 기본'!$G7,MAX(0,SUM('데이터 기본'!$G$7:$G7)-IF($B$8="",$A$8,$B$8)*MAX(0,AB$3-'데이터 기본'!$B$1)))</f>
        <v/>
      </c>
      <c r="AC8" s="82">
        <f>MIN('데이터 기본'!$G7,MAX(0,SUM('데이터 기본'!$G$7:$G7)-IF($B$8="",$A$8,$B$8)*MAX(0,AC$3-'데이터 기본'!$B$1)))</f>
        <v/>
      </c>
      <c r="AD8" s="83">
        <f>MIN('데이터 기본'!$G7,MAX(0,SUM('데이터 기본'!$G$7:$G7)-IF($B$8="",$A$8,$B$8)*MAX(0,AD$3-'데이터 기본'!$B$1)))</f>
        <v/>
      </c>
      <c r="AE8" s="83">
        <f>MIN('데이터 기본'!$G7,MAX(0,SUM('데이터 기본'!$G$7:$G7)-IF($B$8="",$A$8,$B$8)*MAX(0,AE$3-'데이터 기본'!$B$1)))</f>
        <v/>
      </c>
      <c r="AF8" s="83">
        <f>MIN('데이터 기본'!$G7,MAX(0,SUM('데이터 기본'!$G$7:$G7)-IF($B$8="",$A$8,$B$8)*MAX(0,AF$3-'데이터 기본'!$B$1)))</f>
        <v/>
      </c>
      <c r="AG8" s="83">
        <f>MIN('데이터 기본'!$G7,MAX(0,SUM('데이터 기본'!$G$7:$G7)-IF($B$8="",$A$8,$B$8)*MAX(0,AG$3-'데이터 기본'!$B$1)))</f>
        <v/>
      </c>
      <c r="AH8" s="83">
        <f>MIN('데이터 기본'!$G7,MAX(0,SUM('데이터 기본'!$G$7:$G7)-IF($B$8="",$A$8,$B$8)*MAX(0,AH$3-'데이터 기본'!$B$1)))</f>
        <v/>
      </c>
      <c r="AI8" s="83">
        <f>MIN('데이터 기본'!$G7,MAX(0,SUM('데이터 기본'!$G$7:$G7)-IF($B$8="",$A$8,$B$8)*MAX(0,AI$3-'데이터 기본'!$B$1)))</f>
        <v/>
      </c>
      <c r="AJ8" s="83">
        <f>MIN('데이터 기본'!$G7,MAX(0,SUM('데이터 기본'!$G$7:$G7)-IF($B$8="",$A$8,$B$8)*MAX(0,AJ$3-'데이터 기본'!$B$1)))</f>
        <v/>
      </c>
      <c r="AK8" s="83">
        <f>MIN('데이터 기본'!$G7,MAX(0,SUM('데이터 기본'!$G$7:$G7)-IF($B$8="",$A$8,$B$8)*MAX(0,AK$3-'데이터 기본'!$B$1)))</f>
        <v/>
      </c>
    </row>
    <row r="9">
      <c r="A9" s="10">
        <f>7*8/30</f>
        <v/>
      </c>
      <c r="B9" s="77" t="n"/>
      <c r="C9" s="30" t="inlineStr">
        <is>
          <t>터키</t>
        </is>
      </c>
      <c r="D9" s="32" t="inlineStr">
        <is>
          <t>198g</t>
        </is>
      </c>
      <c r="E9" s="32" t="inlineStr">
        <is>
          <t>TBTE-7</t>
        </is>
      </c>
      <c r="F9" s="52" t="n">
        <v>46475</v>
      </c>
      <c r="G9" s="81">
        <f>MIN('데이터 기본'!$G8,MAX(0,SUM('데이터 기본'!$G$8:$G8)-IF($B$9="",$A$9,$B$9)*MAX(0,G$3-'데이터 기본'!$B$1)))</f>
        <v/>
      </c>
      <c r="H9" s="82">
        <f>MIN('데이터 기본'!$G8,MAX(0,SUM('데이터 기본'!$G$8:$G8)-IF($B$9="",$A$9,$B$9)*MAX(0,H$3-'데이터 기본'!$B$1)))</f>
        <v/>
      </c>
      <c r="I9" s="82">
        <f>MIN('데이터 기본'!$G8,MAX(0,SUM('데이터 기본'!$G$8:$G8)-IF($B$9="",$A$9,$B$9)*MAX(0,I$3-'데이터 기본'!$B$1)))</f>
        <v/>
      </c>
      <c r="J9" s="82">
        <f>MIN('데이터 기본'!$G8,MAX(0,SUM('데이터 기본'!$G$8:$G8)-IF($B$9="",$A$9,$B$9)*MAX(0,J$3-'데이터 기본'!$B$1)))</f>
        <v/>
      </c>
      <c r="K9" s="82">
        <f>MIN('데이터 기본'!$G8,MAX(0,SUM('데이터 기본'!$G$8:$G8)-IF($B$9="",$A$9,$B$9)*MAX(0,K$3-'데이터 기본'!$B$1)))</f>
        <v/>
      </c>
      <c r="L9" s="82">
        <f>MIN('데이터 기본'!$G8,MAX(0,SUM('데이터 기본'!$G$8:$G8)-IF($B$9="",$A$9,$B$9)*MAX(0,L$3-'데이터 기본'!$B$1)))</f>
        <v/>
      </c>
      <c r="M9" s="82">
        <f>MIN('데이터 기본'!$G8,MAX(0,SUM('데이터 기본'!$G$8:$G8)-IF($B$9="",$A$9,$B$9)*MAX(0,M$3-'데이터 기본'!$B$1)))</f>
        <v/>
      </c>
      <c r="N9" s="82">
        <f>MIN('데이터 기본'!$G8,MAX(0,SUM('데이터 기본'!$G$8:$G8)-IF($B$9="",$A$9,$B$9)*MAX(0,N$3-'데이터 기본'!$B$1)))</f>
        <v/>
      </c>
      <c r="O9" s="82">
        <f>MIN('데이터 기본'!$G8,MAX(0,SUM('데이터 기본'!$G$8:$G8)-IF($B$9="",$A$9,$B$9)*MAX(0,O$3-'데이터 기본'!$B$1)))</f>
        <v/>
      </c>
      <c r="P9" s="82">
        <f>MIN('데이터 기본'!$G8,MAX(0,SUM('데이터 기본'!$G$8:$G8)-IF($B$9="",$A$9,$B$9)*MAX(0,P$3-'데이터 기본'!$B$1)))</f>
        <v/>
      </c>
      <c r="Q9" s="82">
        <f>MIN('데이터 기본'!$G8,MAX(0,SUM('데이터 기본'!$G$8:$G8)-IF($B$9="",$A$9,$B$9)*MAX(0,Q$3-'데이터 기본'!$B$1)))</f>
        <v/>
      </c>
      <c r="R9" s="82">
        <f>MIN('데이터 기본'!$G8,MAX(0,SUM('데이터 기본'!$G$8:$G8)-IF($B$9="",$A$9,$B$9)*MAX(0,R$3-'데이터 기본'!$B$1)))</f>
        <v/>
      </c>
      <c r="S9" s="82">
        <f>MIN('데이터 기본'!$G8,MAX(0,SUM('데이터 기본'!$G$8:$G8)-IF($B$9="",$A$9,$B$9)*MAX(0,S$3-'데이터 기본'!$B$1)))</f>
        <v/>
      </c>
      <c r="T9" s="82">
        <f>MIN('데이터 기본'!$G8,MAX(0,SUM('데이터 기본'!$G$8:$G8)-IF($B$9="",$A$9,$B$9)*MAX(0,T$3-'데이터 기본'!$B$1)))</f>
        <v/>
      </c>
      <c r="U9" s="82">
        <f>MIN('데이터 기본'!$G8,MAX(0,SUM('데이터 기본'!$G$8:$G8)-IF($B$9="",$A$9,$B$9)*MAX(0,U$3-'데이터 기본'!$B$1)))</f>
        <v/>
      </c>
      <c r="V9" s="82">
        <f>MIN('데이터 기본'!$G8,MAX(0,SUM('데이터 기본'!$G$8:$G8)-IF($B$9="",$A$9,$B$9)*MAX(0,V$3-'데이터 기본'!$B$1)))</f>
        <v/>
      </c>
      <c r="W9" s="82">
        <f>MIN('데이터 기본'!$G8,MAX(0,SUM('데이터 기본'!$G$8:$G8)-IF($B$9="",$A$9,$B$9)*MAX(0,W$3-'데이터 기본'!$B$1)))</f>
        <v/>
      </c>
      <c r="X9" s="82">
        <f>MIN('데이터 기본'!$G8,MAX(0,SUM('데이터 기본'!$G$8:$G8)-IF($B$9="",$A$9,$B$9)*MAX(0,X$3-'데이터 기본'!$B$1)))</f>
        <v/>
      </c>
      <c r="Y9" s="82">
        <f>MIN('데이터 기본'!$G8,MAX(0,SUM('데이터 기본'!$G$8:$G8)-IF($B$9="",$A$9,$B$9)*MAX(0,Y$3-'데이터 기본'!$B$1)))</f>
        <v/>
      </c>
      <c r="Z9" s="82">
        <f>MIN('데이터 기본'!$G8,MAX(0,SUM('데이터 기본'!$G$8:$G8)-IF($B$9="",$A$9,$B$9)*MAX(0,Z$3-'데이터 기본'!$B$1)))</f>
        <v/>
      </c>
      <c r="AA9" s="82">
        <f>MIN('데이터 기본'!$G8,MAX(0,SUM('데이터 기본'!$G$8:$G8)-IF($B$9="",$A$9,$B$9)*MAX(0,AA$3-'데이터 기본'!$B$1)))</f>
        <v/>
      </c>
      <c r="AB9" s="82">
        <f>MIN('데이터 기본'!$G8,MAX(0,SUM('데이터 기본'!$G$8:$G8)-IF($B$9="",$A$9,$B$9)*MAX(0,AB$3-'데이터 기본'!$B$1)))</f>
        <v/>
      </c>
      <c r="AC9" s="82">
        <f>MIN('데이터 기본'!$G8,MAX(0,SUM('데이터 기본'!$G$8:$G8)-IF($B$9="",$A$9,$B$9)*MAX(0,AC$3-'데이터 기본'!$B$1)))</f>
        <v/>
      </c>
      <c r="AD9" s="83">
        <f>MIN('데이터 기본'!$G8,MAX(0,SUM('데이터 기본'!$G$8:$G8)-IF($B$9="",$A$9,$B$9)*MAX(0,AD$3-'데이터 기본'!$B$1)))</f>
        <v/>
      </c>
      <c r="AE9" s="83">
        <f>MIN('데이터 기본'!$G8,MAX(0,SUM('데이터 기본'!$G$8:$G8)-IF($B$9="",$A$9,$B$9)*MAX(0,AE$3-'데이터 기본'!$B$1)))</f>
        <v/>
      </c>
      <c r="AF9" s="83">
        <f>MIN('데이터 기본'!$G8,MAX(0,SUM('데이터 기본'!$G$8:$G8)-IF($B$9="",$A$9,$B$9)*MAX(0,AF$3-'데이터 기본'!$B$1)))</f>
        <v/>
      </c>
      <c r="AG9" s="83">
        <f>MIN('데이터 기본'!$G8,MAX(0,SUM('데이터 기본'!$G$8:$G8)-IF($B$9="",$A$9,$B$9)*MAX(0,AG$3-'데이터 기본'!$B$1)))</f>
        <v/>
      </c>
      <c r="AH9" s="83">
        <f>MIN('데이터 기본'!$G8,MAX(0,SUM('데이터 기본'!$G$8:$G8)-IF($B$9="",$A$9,$B$9)*MAX(0,AH$3-'데이터 기본'!$B$1)))</f>
        <v/>
      </c>
      <c r="AI9" s="83">
        <f>MIN('데이터 기본'!$G8,MAX(0,SUM('데이터 기본'!$G$8:$G8)-IF($B$9="",$A$9,$B$9)*MAX(0,AI$3-'데이터 기본'!$B$1)))</f>
        <v/>
      </c>
      <c r="AJ9" s="83">
        <f>MIN('데이터 기본'!$G8,MAX(0,SUM('데이터 기본'!$G$8:$G8)-IF($B$9="",$A$9,$B$9)*MAX(0,AJ$3-'데이터 기본'!$B$1)))</f>
        <v/>
      </c>
      <c r="AK9" s="83">
        <f>MIN('데이터 기본'!$G8,MAX(0,SUM('데이터 기본'!$G$8:$G8)-IF($B$9="",$A$9,$B$9)*MAX(0,AK$3-'데이터 기본'!$B$1)))</f>
        <v/>
      </c>
    </row>
    <row r="10">
      <c r="A10" s="72" t="n"/>
      <c r="C10" s="69" t="n"/>
      <c r="D10" s="69" t="n"/>
      <c r="E10" s="69" t="n"/>
      <c r="F10" s="52" t="n">
        <v>46479</v>
      </c>
      <c r="G10" s="81">
        <f>MIN('데이터 기본'!$G9,MAX(0,SUM('데이터 기본'!$G$8:$G9)-IF($B$9="",$A$9,$B$9)*MAX(0,G$3-'데이터 기본'!$B$1)))</f>
        <v/>
      </c>
      <c r="H10" s="82">
        <f>MIN('데이터 기본'!$G9,MAX(0,SUM('데이터 기본'!$G$8:$G9)-IF($B$9="",$A$9,$B$9)*MAX(0,H$3-'데이터 기본'!$B$1)))</f>
        <v/>
      </c>
      <c r="I10" s="82">
        <f>MIN('데이터 기본'!$G9,MAX(0,SUM('데이터 기본'!$G$8:$G9)-IF($B$9="",$A$9,$B$9)*MAX(0,I$3-'데이터 기본'!$B$1)))</f>
        <v/>
      </c>
      <c r="J10" s="82">
        <f>MIN('데이터 기본'!$G9,MAX(0,SUM('데이터 기본'!$G$8:$G9)-IF($B$9="",$A$9,$B$9)*MAX(0,J$3-'데이터 기본'!$B$1)))</f>
        <v/>
      </c>
      <c r="K10" s="82">
        <f>MIN('데이터 기본'!$G9,MAX(0,SUM('데이터 기본'!$G$8:$G9)-IF($B$9="",$A$9,$B$9)*MAX(0,K$3-'데이터 기본'!$B$1)))</f>
        <v/>
      </c>
      <c r="L10" s="82">
        <f>MIN('데이터 기본'!$G9,MAX(0,SUM('데이터 기본'!$G$8:$G9)-IF($B$9="",$A$9,$B$9)*MAX(0,L$3-'데이터 기본'!$B$1)))</f>
        <v/>
      </c>
      <c r="M10" s="82">
        <f>MIN('데이터 기본'!$G9,MAX(0,SUM('데이터 기본'!$G$8:$G9)-IF($B$9="",$A$9,$B$9)*MAX(0,M$3-'데이터 기본'!$B$1)))</f>
        <v/>
      </c>
      <c r="N10" s="82">
        <f>MIN('데이터 기본'!$G9,MAX(0,SUM('데이터 기본'!$G$8:$G9)-IF($B$9="",$A$9,$B$9)*MAX(0,N$3-'데이터 기본'!$B$1)))</f>
        <v/>
      </c>
      <c r="O10" s="82">
        <f>MIN('데이터 기본'!$G9,MAX(0,SUM('데이터 기본'!$G$8:$G9)-IF($B$9="",$A$9,$B$9)*MAX(0,O$3-'데이터 기본'!$B$1)))</f>
        <v/>
      </c>
      <c r="P10" s="82">
        <f>MIN('데이터 기본'!$G9,MAX(0,SUM('데이터 기본'!$G$8:$G9)-IF($B$9="",$A$9,$B$9)*MAX(0,P$3-'데이터 기본'!$B$1)))</f>
        <v/>
      </c>
      <c r="Q10" s="82">
        <f>MIN('데이터 기본'!$G9,MAX(0,SUM('데이터 기본'!$G$8:$G9)-IF($B$9="",$A$9,$B$9)*MAX(0,Q$3-'데이터 기본'!$B$1)))</f>
        <v/>
      </c>
      <c r="R10" s="82">
        <f>MIN('데이터 기본'!$G9,MAX(0,SUM('데이터 기본'!$G$8:$G9)-IF($B$9="",$A$9,$B$9)*MAX(0,R$3-'데이터 기본'!$B$1)))</f>
        <v/>
      </c>
      <c r="S10" s="82">
        <f>MIN('데이터 기본'!$G9,MAX(0,SUM('데이터 기본'!$G$8:$G9)-IF($B$9="",$A$9,$B$9)*MAX(0,S$3-'데이터 기본'!$B$1)))</f>
        <v/>
      </c>
      <c r="T10" s="82">
        <f>MIN('데이터 기본'!$G9,MAX(0,SUM('데이터 기본'!$G$8:$G9)-IF($B$9="",$A$9,$B$9)*MAX(0,T$3-'데이터 기본'!$B$1)))</f>
        <v/>
      </c>
      <c r="U10" s="82">
        <f>MIN('데이터 기본'!$G9,MAX(0,SUM('데이터 기본'!$G$8:$G9)-IF($B$9="",$A$9,$B$9)*MAX(0,U$3-'데이터 기본'!$B$1)))</f>
        <v/>
      </c>
      <c r="V10" s="82">
        <f>MIN('데이터 기본'!$G9,MAX(0,SUM('데이터 기본'!$G$8:$G9)-IF($B$9="",$A$9,$B$9)*MAX(0,V$3-'데이터 기본'!$B$1)))</f>
        <v/>
      </c>
      <c r="W10" s="82">
        <f>MIN('데이터 기본'!$G9,MAX(0,SUM('데이터 기본'!$G$8:$G9)-IF($B$9="",$A$9,$B$9)*MAX(0,W$3-'데이터 기본'!$B$1)))</f>
        <v/>
      </c>
      <c r="X10" s="82">
        <f>MIN('데이터 기본'!$G9,MAX(0,SUM('데이터 기본'!$G$8:$G9)-IF($B$9="",$A$9,$B$9)*MAX(0,X$3-'데이터 기본'!$B$1)))</f>
        <v/>
      </c>
      <c r="Y10" s="82">
        <f>MIN('데이터 기본'!$G9,MAX(0,SUM('데이터 기본'!$G$8:$G9)-IF($B$9="",$A$9,$B$9)*MAX(0,Y$3-'데이터 기본'!$B$1)))</f>
        <v/>
      </c>
      <c r="Z10" s="82">
        <f>MIN('데이터 기본'!$G9,MAX(0,SUM('데이터 기본'!$G$8:$G9)-IF($B$9="",$A$9,$B$9)*MAX(0,Z$3-'데이터 기본'!$B$1)))</f>
        <v/>
      </c>
      <c r="AA10" s="82">
        <f>MIN('데이터 기본'!$G9,MAX(0,SUM('데이터 기본'!$G$8:$G9)-IF($B$9="",$A$9,$B$9)*MAX(0,AA$3-'데이터 기본'!$B$1)))</f>
        <v/>
      </c>
      <c r="AB10" s="82">
        <f>MIN('데이터 기본'!$G9,MAX(0,SUM('데이터 기본'!$G$8:$G9)-IF($B$9="",$A$9,$B$9)*MAX(0,AB$3-'데이터 기본'!$B$1)))</f>
        <v/>
      </c>
      <c r="AC10" s="82">
        <f>MIN('데이터 기본'!$G9,MAX(0,SUM('데이터 기본'!$G$8:$G9)-IF($B$9="",$A$9,$B$9)*MAX(0,AC$3-'데이터 기본'!$B$1)))</f>
        <v/>
      </c>
      <c r="AD10" s="83">
        <f>MIN('데이터 기본'!$G9,MAX(0,SUM('데이터 기본'!$G$8:$G9)-IF($B$9="",$A$9,$B$9)*MAX(0,AD$3-'데이터 기본'!$B$1)))</f>
        <v/>
      </c>
      <c r="AE10" s="83">
        <f>MIN('데이터 기본'!$G9,MAX(0,SUM('데이터 기본'!$G$8:$G9)-IF($B$9="",$A$9,$B$9)*MAX(0,AE$3-'데이터 기본'!$B$1)))</f>
        <v/>
      </c>
      <c r="AF10" s="83">
        <f>MIN('데이터 기본'!$G9,MAX(0,SUM('데이터 기본'!$G$8:$G9)-IF($B$9="",$A$9,$B$9)*MAX(0,AF$3-'데이터 기본'!$B$1)))</f>
        <v/>
      </c>
      <c r="AG10" s="83">
        <f>MIN('데이터 기본'!$G9,MAX(0,SUM('데이터 기본'!$G$8:$G9)-IF($B$9="",$A$9,$B$9)*MAX(0,AG$3-'데이터 기본'!$B$1)))</f>
        <v/>
      </c>
      <c r="AH10" s="83">
        <f>MIN('데이터 기본'!$G9,MAX(0,SUM('데이터 기본'!$G$8:$G9)-IF($B$9="",$A$9,$B$9)*MAX(0,AH$3-'데이터 기본'!$B$1)))</f>
        <v/>
      </c>
      <c r="AI10" s="83">
        <f>MIN('데이터 기본'!$G9,MAX(0,SUM('데이터 기본'!$G$8:$G9)-IF($B$9="",$A$9,$B$9)*MAX(0,AI$3-'데이터 기본'!$B$1)))</f>
        <v/>
      </c>
      <c r="AJ10" s="83">
        <f>MIN('데이터 기본'!$G9,MAX(0,SUM('데이터 기본'!$G$8:$G9)-IF($B$9="",$A$9,$B$9)*MAX(0,AJ$3-'데이터 기본'!$B$1)))</f>
        <v/>
      </c>
      <c r="AK10" s="83">
        <f>MIN('데이터 기본'!$G9,MAX(0,SUM('데이터 기본'!$G$8:$G9)-IF($B$9="",$A$9,$B$9)*MAX(0,AK$3-'데이터 기본'!$B$1)))</f>
        <v/>
      </c>
    </row>
    <row r="11">
      <c r="A11" s="72" t="n"/>
      <c r="C11" s="69" t="n"/>
      <c r="D11" s="69" t="n"/>
      <c r="E11" s="69" t="n"/>
      <c r="F11" s="52" t="n">
        <v>46515</v>
      </c>
      <c r="G11" s="81">
        <f>MIN('데이터 기본'!$G10,MAX(0,SUM('데이터 기본'!$G$8:$G10)-IF($B$9="",$A$9,$B$9)*MAX(0,G$3-'데이터 기본'!$B$1)))</f>
        <v/>
      </c>
      <c r="H11" s="82">
        <f>MIN('데이터 기본'!$G10,MAX(0,SUM('데이터 기본'!$G$8:$G10)-IF($B$9="",$A$9,$B$9)*MAX(0,H$3-'데이터 기본'!$B$1)))</f>
        <v/>
      </c>
      <c r="I11" s="82">
        <f>MIN('데이터 기본'!$G10,MAX(0,SUM('데이터 기본'!$G$8:$G10)-IF($B$9="",$A$9,$B$9)*MAX(0,I$3-'데이터 기본'!$B$1)))</f>
        <v/>
      </c>
      <c r="J11" s="82">
        <f>MIN('데이터 기본'!$G10,MAX(0,SUM('데이터 기본'!$G$8:$G10)-IF($B$9="",$A$9,$B$9)*MAX(0,J$3-'데이터 기본'!$B$1)))</f>
        <v/>
      </c>
      <c r="K11" s="82">
        <f>MIN('데이터 기본'!$G10,MAX(0,SUM('데이터 기본'!$G$8:$G10)-IF($B$9="",$A$9,$B$9)*MAX(0,K$3-'데이터 기본'!$B$1)))</f>
        <v/>
      </c>
      <c r="L11" s="82">
        <f>MIN('데이터 기본'!$G10,MAX(0,SUM('데이터 기본'!$G$8:$G10)-IF($B$9="",$A$9,$B$9)*MAX(0,L$3-'데이터 기본'!$B$1)))</f>
        <v/>
      </c>
      <c r="M11" s="82">
        <f>MIN('데이터 기본'!$G10,MAX(0,SUM('데이터 기본'!$G$8:$G10)-IF($B$9="",$A$9,$B$9)*MAX(0,M$3-'데이터 기본'!$B$1)))</f>
        <v/>
      </c>
      <c r="N11" s="82">
        <f>MIN('데이터 기본'!$G10,MAX(0,SUM('데이터 기본'!$G$8:$G10)-IF($B$9="",$A$9,$B$9)*MAX(0,N$3-'데이터 기본'!$B$1)))</f>
        <v/>
      </c>
      <c r="O11" s="82">
        <f>MIN('데이터 기본'!$G10,MAX(0,SUM('데이터 기본'!$G$8:$G10)-IF($B$9="",$A$9,$B$9)*MAX(0,O$3-'데이터 기본'!$B$1)))</f>
        <v/>
      </c>
      <c r="P11" s="82">
        <f>MIN('데이터 기본'!$G10,MAX(0,SUM('데이터 기본'!$G$8:$G10)-IF($B$9="",$A$9,$B$9)*MAX(0,P$3-'데이터 기본'!$B$1)))</f>
        <v/>
      </c>
      <c r="Q11" s="82">
        <f>MIN('데이터 기본'!$G10,MAX(0,SUM('데이터 기본'!$G$8:$G10)-IF($B$9="",$A$9,$B$9)*MAX(0,Q$3-'데이터 기본'!$B$1)))</f>
        <v/>
      </c>
      <c r="R11" s="82">
        <f>MIN('데이터 기본'!$G10,MAX(0,SUM('데이터 기본'!$G$8:$G10)-IF($B$9="",$A$9,$B$9)*MAX(0,R$3-'데이터 기본'!$B$1)))</f>
        <v/>
      </c>
      <c r="S11" s="82">
        <f>MIN('데이터 기본'!$G10,MAX(0,SUM('데이터 기본'!$G$8:$G10)-IF($B$9="",$A$9,$B$9)*MAX(0,S$3-'데이터 기본'!$B$1)))</f>
        <v/>
      </c>
      <c r="T11" s="82">
        <f>MIN('데이터 기본'!$G10,MAX(0,SUM('데이터 기본'!$G$8:$G10)-IF($B$9="",$A$9,$B$9)*MAX(0,T$3-'데이터 기본'!$B$1)))</f>
        <v/>
      </c>
      <c r="U11" s="82">
        <f>MIN('데이터 기본'!$G10,MAX(0,SUM('데이터 기본'!$G$8:$G10)-IF($B$9="",$A$9,$B$9)*MAX(0,U$3-'데이터 기본'!$B$1)))</f>
        <v/>
      </c>
      <c r="V11" s="82">
        <f>MIN('데이터 기본'!$G10,MAX(0,SUM('데이터 기본'!$G$8:$G10)-IF($B$9="",$A$9,$B$9)*MAX(0,V$3-'데이터 기본'!$B$1)))</f>
        <v/>
      </c>
      <c r="W11" s="82">
        <f>MIN('데이터 기본'!$G10,MAX(0,SUM('데이터 기본'!$G$8:$G10)-IF($B$9="",$A$9,$B$9)*MAX(0,W$3-'데이터 기본'!$B$1)))</f>
        <v/>
      </c>
      <c r="X11" s="82">
        <f>MIN('데이터 기본'!$G10,MAX(0,SUM('데이터 기본'!$G$8:$G10)-IF($B$9="",$A$9,$B$9)*MAX(0,X$3-'데이터 기본'!$B$1)))</f>
        <v/>
      </c>
      <c r="Y11" s="82">
        <f>MIN('데이터 기본'!$G10,MAX(0,SUM('데이터 기본'!$G$8:$G10)-IF($B$9="",$A$9,$B$9)*MAX(0,Y$3-'데이터 기본'!$B$1)))</f>
        <v/>
      </c>
      <c r="Z11" s="82">
        <f>MIN('데이터 기본'!$G10,MAX(0,SUM('데이터 기본'!$G$8:$G10)-IF($B$9="",$A$9,$B$9)*MAX(0,Z$3-'데이터 기본'!$B$1)))</f>
        <v/>
      </c>
      <c r="AA11" s="82">
        <f>MIN('데이터 기본'!$G10,MAX(0,SUM('데이터 기본'!$G$8:$G10)-IF($B$9="",$A$9,$B$9)*MAX(0,AA$3-'데이터 기본'!$B$1)))</f>
        <v/>
      </c>
      <c r="AB11" s="82">
        <f>MIN('데이터 기본'!$G10,MAX(0,SUM('데이터 기본'!$G$8:$G10)-IF($B$9="",$A$9,$B$9)*MAX(0,AB$3-'데이터 기본'!$B$1)))</f>
        <v/>
      </c>
      <c r="AC11" s="82">
        <f>MIN('데이터 기본'!$G10,MAX(0,SUM('데이터 기본'!$G$8:$G10)-IF($B$9="",$A$9,$B$9)*MAX(0,AC$3-'데이터 기본'!$B$1)))</f>
        <v/>
      </c>
      <c r="AD11" s="83">
        <f>MIN('데이터 기본'!$G10,MAX(0,SUM('데이터 기본'!$G$8:$G10)-IF($B$9="",$A$9,$B$9)*MAX(0,AD$3-'데이터 기본'!$B$1)))</f>
        <v/>
      </c>
      <c r="AE11" s="83">
        <f>MIN('데이터 기본'!$G10,MAX(0,SUM('데이터 기본'!$G$8:$G10)-IF($B$9="",$A$9,$B$9)*MAX(0,AE$3-'데이터 기본'!$B$1)))</f>
        <v/>
      </c>
      <c r="AF11" s="83">
        <f>MIN('데이터 기본'!$G10,MAX(0,SUM('데이터 기본'!$G$8:$G10)-IF($B$9="",$A$9,$B$9)*MAX(0,AF$3-'데이터 기본'!$B$1)))</f>
        <v/>
      </c>
      <c r="AG11" s="83">
        <f>MIN('데이터 기본'!$G10,MAX(0,SUM('데이터 기본'!$G$8:$G10)-IF($B$9="",$A$9,$B$9)*MAX(0,AG$3-'데이터 기본'!$B$1)))</f>
        <v/>
      </c>
      <c r="AH11" s="83">
        <f>MIN('데이터 기본'!$G10,MAX(0,SUM('데이터 기본'!$G$8:$G10)-IF($B$9="",$A$9,$B$9)*MAX(0,AH$3-'데이터 기본'!$B$1)))</f>
        <v/>
      </c>
      <c r="AI11" s="83">
        <f>MIN('데이터 기본'!$G10,MAX(0,SUM('데이터 기본'!$G$8:$G10)-IF($B$9="",$A$9,$B$9)*MAX(0,AI$3-'데이터 기본'!$B$1)))</f>
        <v/>
      </c>
      <c r="AJ11" s="83">
        <f>MIN('데이터 기본'!$G10,MAX(0,SUM('데이터 기본'!$G$8:$G10)-IF($B$9="",$A$9,$B$9)*MAX(0,AJ$3-'데이터 기본'!$B$1)))</f>
        <v/>
      </c>
      <c r="AK11" s="83">
        <f>MIN('데이터 기본'!$G10,MAX(0,SUM('데이터 기본'!$G$8:$G10)-IF($B$9="",$A$9,$B$9)*MAX(0,AK$3-'데이터 기본'!$B$1)))</f>
        <v/>
      </c>
    </row>
    <row r="12">
      <c r="A12" s="71" t="n"/>
      <c r="C12" s="69" t="n"/>
      <c r="D12" s="70" t="n"/>
      <c r="E12" s="70" t="n"/>
      <c r="F12" s="52" t="n">
        <v>46521</v>
      </c>
      <c r="G12" s="81">
        <f>MIN('데이터 기본'!$G11,MAX(0,SUM('데이터 기본'!$G$8:$G11)-IF($B$9="",$A$9,$B$9)*MAX(0,G$3-'데이터 기본'!$B$1)))</f>
        <v/>
      </c>
      <c r="H12" s="82">
        <f>MIN('데이터 기본'!$G11,MAX(0,SUM('데이터 기본'!$G$8:$G11)-IF($B$9="",$A$9,$B$9)*MAX(0,H$3-'데이터 기본'!$B$1)))</f>
        <v/>
      </c>
      <c r="I12" s="82">
        <f>MIN('데이터 기본'!$G11,MAX(0,SUM('데이터 기본'!$G$8:$G11)-IF($B$9="",$A$9,$B$9)*MAX(0,I$3-'데이터 기본'!$B$1)))</f>
        <v/>
      </c>
      <c r="J12" s="82">
        <f>MIN('데이터 기본'!$G11,MAX(0,SUM('데이터 기본'!$G$8:$G11)-IF($B$9="",$A$9,$B$9)*MAX(0,J$3-'데이터 기본'!$B$1)))</f>
        <v/>
      </c>
      <c r="K12" s="82">
        <f>MIN('데이터 기본'!$G11,MAX(0,SUM('데이터 기본'!$G$8:$G11)-IF($B$9="",$A$9,$B$9)*MAX(0,K$3-'데이터 기본'!$B$1)))</f>
        <v/>
      </c>
      <c r="L12" s="82">
        <f>MIN('데이터 기본'!$G11,MAX(0,SUM('데이터 기본'!$G$8:$G11)-IF($B$9="",$A$9,$B$9)*MAX(0,L$3-'데이터 기본'!$B$1)))</f>
        <v/>
      </c>
      <c r="M12" s="82">
        <f>MIN('데이터 기본'!$G11,MAX(0,SUM('데이터 기본'!$G$8:$G11)-IF($B$9="",$A$9,$B$9)*MAX(0,M$3-'데이터 기본'!$B$1)))</f>
        <v/>
      </c>
      <c r="N12" s="82">
        <f>MIN('데이터 기본'!$G11,MAX(0,SUM('데이터 기본'!$G$8:$G11)-IF($B$9="",$A$9,$B$9)*MAX(0,N$3-'데이터 기본'!$B$1)))</f>
        <v/>
      </c>
      <c r="O12" s="82">
        <f>MIN('데이터 기본'!$G11,MAX(0,SUM('데이터 기본'!$G$8:$G11)-IF($B$9="",$A$9,$B$9)*MAX(0,O$3-'데이터 기본'!$B$1)))</f>
        <v/>
      </c>
      <c r="P12" s="82">
        <f>MIN('데이터 기본'!$G11,MAX(0,SUM('데이터 기본'!$G$8:$G11)-IF($B$9="",$A$9,$B$9)*MAX(0,P$3-'데이터 기본'!$B$1)))</f>
        <v/>
      </c>
      <c r="Q12" s="82">
        <f>MIN('데이터 기본'!$G11,MAX(0,SUM('데이터 기본'!$G$8:$G11)-IF($B$9="",$A$9,$B$9)*MAX(0,Q$3-'데이터 기본'!$B$1)))</f>
        <v/>
      </c>
      <c r="R12" s="82">
        <f>MIN('데이터 기본'!$G11,MAX(0,SUM('데이터 기본'!$G$8:$G11)-IF($B$9="",$A$9,$B$9)*MAX(0,R$3-'데이터 기본'!$B$1)))</f>
        <v/>
      </c>
      <c r="S12" s="82">
        <f>MIN('데이터 기본'!$G11,MAX(0,SUM('데이터 기본'!$G$8:$G11)-IF($B$9="",$A$9,$B$9)*MAX(0,S$3-'데이터 기본'!$B$1)))</f>
        <v/>
      </c>
      <c r="T12" s="82">
        <f>MIN('데이터 기본'!$G11,MAX(0,SUM('데이터 기본'!$G$8:$G11)-IF($B$9="",$A$9,$B$9)*MAX(0,T$3-'데이터 기본'!$B$1)))</f>
        <v/>
      </c>
      <c r="U12" s="82">
        <f>MIN('데이터 기본'!$G11,MAX(0,SUM('데이터 기본'!$G$8:$G11)-IF($B$9="",$A$9,$B$9)*MAX(0,U$3-'데이터 기본'!$B$1)))</f>
        <v/>
      </c>
      <c r="V12" s="82">
        <f>MIN('데이터 기본'!$G11,MAX(0,SUM('데이터 기본'!$G$8:$G11)-IF($B$9="",$A$9,$B$9)*MAX(0,V$3-'데이터 기본'!$B$1)))</f>
        <v/>
      </c>
      <c r="W12" s="82">
        <f>MIN('데이터 기본'!$G11,MAX(0,SUM('데이터 기본'!$G$8:$G11)-IF($B$9="",$A$9,$B$9)*MAX(0,W$3-'데이터 기본'!$B$1)))</f>
        <v/>
      </c>
      <c r="X12" s="82">
        <f>MIN('데이터 기본'!$G11,MAX(0,SUM('데이터 기본'!$G$8:$G11)-IF($B$9="",$A$9,$B$9)*MAX(0,X$3-'데이터 기본'!$B$1)))</f>
        <v/>
      </c>
      <c r="Y12" s="82">
        <f>MIN('데이터 기본'!$G11,MAX(0,SUM('데이터 기본'!$G$8:$G11)-IF($B$9="",$A$9,$B$9)*MAX(0,Y$3-'데이터 기본'!$B$1)))</f>
        <v/>
      </c>
      <c r="Z12" s="82">
        <f>MIN('데이터 기본'!$G11,MAX(0,SUM('데이터 기본'!$G$8:$G11)-IF($B$9="",$A$9,$B$9)*MAX(0,Z$3-'데이터 기본'!$B$1)))</f>
        <v/>
      </c>
      <c r="AA12" s="82">
        <f>MIN('데이터 기본'!$G11,MAX(0,SUM('데이터 기본'!$G$8:$G11)-IF($B$9="",$A$9,$B$9)*MAX(0,AA$3-'데이터 기본'!$B$1)))</f>
        <v/>
      </c>
      <c r="AB12" s="82">
        <f>MIN('데이터 기본'!$G11,MAX(0,SUM('데이터 기본'!$G$8:$G11)-IF($B$9="",$A$9,$B$9)*MAX(0,AB$3-'데이터 기본'!$B$1)))</f>
        <v/>
      </c>
      <c r="AC12" s="82">
        <f>MIN('데이터 기본'!$G11,MAX(0,SUM('데이터 기본'!$G$8:$G11)-IF($B$9="",$A$9,$B$9)*MAX(0,AC$3-'데이터 기본'!$B$1)))</f>
        <v/>
      </c>
      <c r="AD12" s="83">
        <f>MIN('데이터 기본'!$G11,MAX(0,SUM('데이터 기본'!$G$8:$G11)-IF($B$9="",$A$9,$B$9)*MAX(0,AD$3-'데이터 기본'!$B$1)))</f>
        <v/>
      </c>
      <c r="AE12" s="83">
        <f>MIN('데이터 기본'!$G11,MAX(0,SUM('데이터 기본'!$G$8:$G11)-IF($B$9="",$A$9,$B$9)*MAX(0,AE$3-'데이터 기본'!$B$1)))</f>
        <v/>
      </c>
      <c r="AF12" s="83">
        <f>MIN('데이터 기본'!$G11,MAX(0,SUM('데이터 기본'!$G$8:$G11)-IF($B$9="",$A$9,$B$9)*MAX(0,AF$3-'데이터 기본'!$B$1)))</f>
        <v/>
      </c>
      <c r="AG12" s="83">
        <f>MIN('데이터 기본'!$G11,MAX(0,SUM('데이터 기본'!$G$8:$G11)-IF($B$9="",$A$9,$B$9)*MAX(0,AG$3-'데이터 기본'!$B$1)))</f>
        <v/>
      </c>
      <c r="AH12" s="83">
        <f>MIN('데이터 기본'!$G11,MAX(0,SUM('데이터 기본'!$G$8:$G11)-IF($B$9="",$A$9,$B$9)*MAX(0,AH$3-'데이터 기본'!$B$1)))</f>
        <v/>
      </c>
      <c r="AI12" s="83">
        <f>MIN('데이터 기본'!$G11,MAX(0,SUM('데이터 기본'!$G$8:$G11)-IF($B$9="",$A$9,$B$9)*MAX(0,AI$3-'데이터 기본'!$B$1)))</f>
        <v/>
      </c>
      <c r="AJ12" s="83">
        <f>MIN('데이터 기본'!$G11,MAX(0,SUM('데이터 기본'!$G$8:$G11)-IF($B$9="",$A$9,$B$9)*MAX(0,AJ$3-'데이터 기본'!$B$1)))</f>
        <v/>
      </c>
      <c r="AK12" s="83">
        <f>MIN('데이터 기본'!$G11,MAX(0,SUM('데이터 기본'!$G$8:$G11)-IF($B$9="",$A$9,$B$9)*MAX(0,AK$3-'데이터 기본'!$B$1)))</f>
        <v/>
      </c>
    </row>
    <row r="13">
      <c r="A13" s="10">
        <f>11*4/30</f>
        <v/>
      </c>
      <c r="B13" s="77" t="n"/>
      <c r="C13" s="69" t="n"/>
      <c r="D13" s="32" t="inlineStr">
        <is>
          <t>567g</t>
        </is>
      </c>
      <c r="E13" s="32" t="inlineStr">
        <is>
          <t>TBTE-20</t>
        </is>
      </c>
      <c r="F13" s="52" t="n">
        <v>46507</v>
      </c>
      <c r="G13" s="81">
        <f>MIN('데이터 기본'!$G12,MAX(0,SUM('데이터 기본'!$G$12:$G12)-IF($B$13="",$A$13,$B$13)*MAX(0,G$3-'데이터 기본'!$B$1)))</f>
        <v/>
      </c>
      <c r="H13" s="82">
        <f>MIN('데이터 기본'!$G12,MAX(0,SUM('데이터 기본'!$G$12:$G12)-IF($B$13="",$A$13,$B$13)*MAX(0,H$3-'데이터 기본'!$B$1)))</f>
        <v/>
      </c>
      <c r="I13" s="82">
        <f>MIN('데이터 기본'!$G12,MAX(0,SUM('데이터 기본'!$G$12:$G12)-IF($B$13="",$A$13,$B$13)*MAX(0,I$3-'데이터 기본'!$B$1)))</f>
        <v/>
      </c>
      <c r="J13" s="82">
        <f>MIN('데이터 기본'!$G12,MAX(0,SUM('데이터 기본'!$G$12:$G12)-IF($B$13="",$A$13,$B$13)*MAX(0,J$3-'데이터 기본'!$B$1)))</f>
        <v/>
      </c>
      <c r="K13" s="82">
        <f>MIN('데이터 기본'!$G12,MAX(0,SUM('데이터 기본'!$G$12:$G12)-IF($B$13="",$A$13,$B$13)*MAX(0,K$3-'데이터 기본'!$B$1)))</f>
        <v/>
      </c>
      <c r="L13" s="82">
        <f>MIN('데이터 기본'!$G12,MAX(0,SUM('데이터 기본'!$G$12:$G12)-IF($B$13="",$A$13,$B$13)*MAX(0,L$3-'데이터 기본'!$B$1)))</f>
        <v/>
      </c>
      <c r="M13" s="82">
        <f>MIN('데이터 기본'!$G12,MAX(0,SUM('데이터 기본'!$G$12:$G12)-IF($B$13="",$A$13,$B$13)*MAX(0,M$3-'데이터 기본'!$B$1)))</f>
        <v/>
      </c>
      <c r="N13" s="82">
        <f>MIN('데이터 기본'!$G12,MAX(0,SUM('데이터 기본'!$G$12:$G12)-IF($B$13="",$A$13,$B$13)*MAX(0,N$3-'데이터 기본'!$B$1)))</f>
        <v/>
      </c>
      <c r="O13" s="82">
        <f>MIN('데이터 기본'!$G12,MAX(0,SUM('데이터 기본'!$G$12:$G12)-IF($B$13="",$A$13,$B$13)*MAX(0,O$3-'데이터 기본'!$B$1)))</f>
        <v/>
      </c>
      <c r="P13" s="82">
        <f>MIN('데이터 기본'!$G12,MAX(0,SUM('데이터 기본'!$G$12:$G12)-IF($B$13="",$A$13,$B$13)*MAX(0,P$3-'데이터 기본'!$B$1)))</f>
        <v/>
      </c>
      <c r="Q13" s="82">
        <f>MIN('데이터 기본'!$G12,MAX(0,SUM('데이터 기본'!$G$12:$G12)-IF($B$13="",$A$13,$B$13)*MAX(0,Q$3-'데이터 기본'!$B$1)))</f>
        <v/>
      </c>
      <c r="R13" s="82">
        <f>MIN('데이터 기본'!$G12,MAX(0,SUM('데이터 기본'!$G$12:$G12)-IF($B$13="",$A$13,$B$13)*MAX(0,R$3-'데이터 기본'!$B$1)))</f>
        <v/>
      </c>
      <c r="S13" s="82">
        <f>MIN('데이터 기본'!$G12,MAX(0,SUM('데이터 기본'!$G$12:$G12)-IF($B$13="",$A$13,$B$13)*MAX(0,S$3-'데이터 기본'!$B$1)))</f>
        <v/>
      </c>
      <c r="T13" s="82">
        <f>MIN('데이터 기본'!$G12,MAX(0,SUM('데이터 기본'!$G$12:$G12)-IF($B$13="",$A$13,$B$13)*MAX(0,T$3-'데이터 기본'!$B$1)))</f>
        <v/>
      </c>
      <c r="U13" s="82">
        <f>MIN('데이터 기본'!$G12,MAX(0,SUM('데이터 기본'!$G$12:$G12)-IF($B$13="",$A$13,$B$13)*MAX(0,U$3-'데이터 기본'!$B$1)))</f>
        <v/>
      </c>
      <c r="V13" s="82">
        <f>MIN('데이터 기본'!$G12,MAX(0,SUM('데이터 기본'!$G$12:$G12)-IF($B$13="",$A$13,$B$13)*MAX(0,V$3-'데이터 기본'!$B$1)))</f>
        <v/>
      </c>
      <c r="W13" s="82">
        <f>MIN('데이터 기본'!$G12,MAX(0,SUM('데이터 기본'!$G$12:$G12)-IF($B$13="",$A$13,$B$13)*MAX(0,W$3-'데이터 기본'!$B$1)))</f>
        <v/>
      </c>
      <c r="X13" s="82">
        <f>MIN('데이터 기본'!$G12,MAX(0,SUM('데이터 기본'!$G$12:$G12)-IF($B$13="",$A$13,$B$13)*MAX(0,X$3-'데이터 기본'!$B$1)))</f>
        <v/>
      </c>
      <c r="Y13" s="82">
        <f>MIN('데이터 기본'!$G12,MAX(0,SUM('데이터 기본'!$G$12:$G12)-IF($B$13="",$A$13,$B$13)*MAX(0,Y$3-'데이터 기본'!$B$1)))</f>
        <v/>
      </c>
      <c r="Z13" s="82">
        <f>MIN('데이터 기본'!$G12,MAX(0,SUM('데이터 기본'!$G$12:$G12)-IF($B$13="",$A$13,$B$13)*MAX(0,Z$3-'데이터 기본'!$B$1)))</f>
        <v/>
      </c>
      <c r="AA13" s="82">
        <f>MIN('데이터 기본'!$G12,MAX(0,SUM('데이터 기본'!$G$12:$G12)-IF($B$13="",$A$13,$B$13)*MAX(0,AA$3-'데이터 기본'!$B$1)))</f>
        <v/>
      </c>
      <c r="AB13" s="82">
        <f>MIN('데이터 기본'!$G12,MAX(0,SUM('데이터 기본'!$G$12:$G12)-IF($B$13="",$A$13,$B$13)*MAX(0,AB$3-'데이터 기본'!$B$1)))</f>
        <v/>
      </c>
      <c r="AC13" s="82">
        <f>MIN('데이터 기본'!$G12,MAX(0,SUM('데이터 기본'!$G$12:$G12)-IF($B$13="",$A$13,$B$13)*MAX(0,AC$3-'데이터 기본'!$B$1)))</f>
        <v/>
      </c>
      <c r="AD13" s="83">
        <f>MIN('데이터 기본'!$G12,MAX(0,SUM('데이터 기본'!$G$12:$G12)-IF($B$13="",$A$13,$B$13)*MAX(0,AD$3-'데이터 기본'!$B$1)))</f>
        <v/>
      </c>
      <c r="AE13" s="83">
        <f>MIN('데이터 기본'!$G12,MAX(0,SUM('데이터 기본'!$G$12:$G12)-IF($B$13="",$A$13,$B$13)*MAX(0,AE$3-'데이터 기본'!$B$1)))</f>
        <v/>
      </c>
      <c r="AF13" s="83">
        <f>MIN('데이터 기본'!$G12,MAX(0,SUM('데이터 기본'!$G$12:$G12)-IF($B$13="",$A$13,$B$13)*MAX(0,AF$3-'데이터 기본'!$B$1)))</f>
        <v/>
      </c>
      <c r="AG13" s="83">
        <f>MIN('데이터 기본'!$G12,MAX(0,SUM('데이터 기본'!$G$12:$G12)-IF($B$13="",$A$13,$B$13)*MAX(0,AG$3-'데이터 기본'!$B$1)))</f>
        <v/>
      </c>
      <c r="AH13" s="83">
        <f>MIN('데이터 기본'!$G12,MAX(0,SUM('데이터 기본'!$G$12:$G12)-IF($B$13="",$A$13,$B$13)*MAX(0,AH$3-'데이터 기본'!$B$1)))</f>
        <v/>
      </c>
      <c r="AI13" s="83">
        <f>MIN('데이터 기본'!$G12,MAX(0,SUM('데이터 기본'!$G$12:$G12)-IF($B$13="",$A$13,$B$13)*MAX(0,AI$3-'데이터 기본'!$B$1)))</f>
        <v/>
      </c>
      <c r="AJ13" s="83">
        <f>MIN('데이터 기본'!$G12,MAX(0,SUM('데이터 기본'!$G$12:$G12)-IF($B$13="",$A$13,$B$13)*MAX(0,AJ$3-'데이터 기본'!$B$1)))</f>
        <v/>
      </c>
      <c r="AK13" s="83">
        <f>MIN('데이터 기본'!$G12,MAX(0,SUM('데이터 기본'!$G$12:$G12)-IF($B$13="",$A$13,$B$13)*MAX(0,AK$3-'데이터 기본'!$B$1)))</f>
        <v/>
      </c>
    </row>
    <row r="14">
      <c r="A14" s="72" t="n"/>
      <c r="C14" s="69" t="n"/>
      <c r="D14" s="69" t="n"/>
      <c r="E14" s="69" t="n"/>
      <c r="F14" s="52" t="n">
        <v>46508</v>
      </c>
      <c r="G14" s="81">
        <f>MIN('데이터 기본'!$G13,MAX(0,SUM('데이터 기본'!$G$12:$G13)-IF($B$13="",$A$13,$B$13)*MAX(0,G$3-'데이터 기본'!$B$1)))</f>
        <v/>
      </c>
      <c r="H14" s="82">
        <f>MIN('데이터 기본'!$G13,MAX(0,SUM('데이터 기본'!$G$12:$G13)-IF($B$13="",$A$13,$B$13)*MAX(0,H$3-'데이터 기본'!$B$1)))</f>
        <v/>
      </c>
      <c r="I14" s="82">
        <f>MIN('데이터 기본'!$G13,MAX(0,SUM('데이터 기본'!$G$12:$G13)-IF($B$13="",$A$13,$B$13)*MAX(0,I$3-'데이터 기본'!$B$1)))</f>
        <v/>
      </c>
      <c r="J14" s="82">
        <f>MIN('데이터 기본'!$G13,MAX(0,SUM('데이터 기본'!$G$12:$G13)-IF($B$13="",$A$13,$B$13)*MAX(0,J$3-'데이터 기본'!$B$1)))</f>
        <v/>
      </c>
      <c r="K14" s="82">
        <f>MIN('데이터 기본'!$G13,MAX(0,SUM('데이터 기본'!$G$12:$G13)-IF($B$13="",$A$13,$B$13)*MAX(0,K$3-'데이터 기본'!$B$1)))</f>
        <v/>
      </c>
      <c r="L14" s="82">
        <f>MIN('데이터 기본'!$G13,MAX(0,SUM('데이터 기본'!$G$12:$G13)-IF($B$13="",$A$13,$B$13)*MAX(0,L$3-'데이터 기본'!$B$1)))</f>
        <v/>
      </c>
      <c r="M14" s="82">
        <f>MIN('데이터 기본'!$G13,MAX(0,SUM('데이터 기본'!$G$12:$G13)-IF($B$13="",$A$13,$B$13)*MAX(0,M$3-'데이터 기본'!$B$1)))</f>
        <v/>
      </c>
      <c r="N14" s="82">
        <f>MIN('데이터 기본'!$G13,MAX(0,SUM('데이터 기본'!$G$12:$G13)-IF($B$13="",$A$13,$B$13)*MAX(0,N$3-'데이터 기본'!$B$1)))</f>
        <v/>
      </c>
      <c r="O14" s="82">
        <f>MIN('데이터 기본'!$G13,MAX(0,SUM('데이터 기본'!$G$12:$G13)-IF($B$13="",$A$13,$B$13)*MAX(0,O$3-'데이터 기본'!$B$1)))</f>
        <v/>
      </c>
      <c r="P14" s="82">
        <f>MIN('데이터 기본'!$G13,MAX(0,SUM('데이터 기본'!$G$12:$G13)-IF($B$13="",$A$13,$B$13)*MAX(0,P$3-'데이터 기본'!$B$1)))</f>
        <v/>
      </c>
      <c r="Q14" s="82">
        <f>MIN('데이터 기본'!$G13,MAX(0,SUM('데이터 기본'!$G$12:$G13)-IF($B$13="",$A$13,$B$13)*MAX(0,Q$3-'데이터 기본'!$B$1)))</f>
        <v/>
      </c>
      <c r="R14" s="82">
        <f>MIN('데이터 기본'!$G13,MAX(0,SUM('데이터 기본'!$G$12:$G13)-IF($B$13="",$A$13,$B$13)*MAX(0,R$3-'데이터 기본'!$B$1)))</f>
        <v/>
      </c>
      <c r="S14" s="82">
        <f>MIN('데이터 기본'!$G13,MAX(0,SUM('데이터 기본'!$G$12:$G13)-IF($B$13="",$A$13,$B$13)*MAX(0,S$3-'데이터 기본'!$B$1)))</f>
        <v/>
      </c>
      <c r="T14" s="82">
        <f>MIN('데이터 기본'!$G13,MAX(0,SUM('데이터 기본'!$G$12:$G13)-IF($B$13="",$A$13,$B$13)*MAX(0,T$3-'데이터 기본'!$B$1)))</f>
        <v/>
      </c>
      <c r="U14" s="82">
        <f>MIN('데이터 기본'!$G13,MAX(0,SUM('데이터 기본'!$G$12:$G13)-IF($B$13="",$A$13,$B$13)*MAX(0,U$3-'데이터 기본'!$B$1)))</f>
        <v/>
      </c>
      <c r="V14" s="82">
        <f>MIN('데이터 기본'!$G13,MAX(0,SUM('데이터 기본'!$G$12:$G13)-IF($B$13="",$A$13,$B$13)*MAX(0,V$3-'데이터 기본'!$B$1)))</f>
        <v/>
      </c>
      <c r="W14" s="82">
        <f>MIN('데이터 기본'!$G13,MAX(0,SUM('데이터 기본'!$G$12:$G13)-IF($B$13="",$A$13,$B$13)*MAX(0,W$3-'데이터 기본'!$B$1)))</f>
        <v/>
      </c>
      <c r="X14" s="82">
        <f>MIN('데이터 기본'!$G13,MAX(0,SUM('데이터 기본'!$G$12:$G13)-IF($B$13="",$A$13,$B$13)*MAX(0,X$3-'데이터 기본'!$B$1)))</f>
        <v/>
      </c>
      <c r="Y14" s="82">
        <f>MIN('데이터 기본'!$G13,MAX(0,SUM('데이터 기본'!$G$12:$G13)-IF($B$13="",$A$13,$B$13)*MAX(0,Y$3-'데이터 기본'!$B$1)))</f>
        <v/>
      </c>
      <c r="Z14" s="82">
        <f>MIN('데이터 기본'!$G13,MAX(0,SUM('데이터 기본'!$G$12:$G13)-IF($B$13="",$A$13,$B$13)*MAX(0,Z$3-'데이터 기본'!$B$1)))</f>
        <v/>
      </c>
      <c r="AA14" s="82">
        <f>MIN('데이터 기본'!$G13,MAX(0,SUM('데이터 기본'!$G$12:$G13)-IF($B$13="",$A$13,$B$13)*MAX(0,AA$3-'데이터 기본'!$B$1)))</f>
        <v/>
      </c>
      <c r="AB14" s="82">
        <f>MIN('데이터 기본'!$G13,MAX(0,SUM('데이터 기본'!$G$12:$G13)-IF($B$13="",$A$13,$B$13)*MAX(0,AB$3-'데이터 기본'!$B$1)))</f>
        <v/>
      </c>
      <c r="AC14" s="82">
        <f>MIN('데이터 기본'!$G13,MAX(0,SUM('데이터 기본'!$G$12:$G13)-IF($B$13="",$A$13,$B$13)*MAX(0,AC$3-'데이터 기본'!$B$1)))</f>
        <v/>
      </c>
      <c r="AD14" s="83">
        <f>MIN('데이터 기본'!$G13,MAX(0,SUM('데이터 기본'!$G$12:$G13)-IF($B$13="",$A$13,$B$13)*MAX(0,AD$3-'데이터 기본'!$B$1)))</f>
        <v/>
      </c>
      <c r="AE14" s="83">
        <f>MIN('데이터 기본'!$G13,MAX(0,SUM('데이터 기본'!$G$12:$G13)-IF($B$13="",$A$13,$B$13)*MAX(0,AE$3-'데이터 기본'!$B$1)))</f>
        <v/>
      </c>
      <c r="AF14" s="83">
        <f>MIN('데이터 기본'!$G13,MAX(0,SUM('데이터 기본'!$G$12:$G13)-IF($B$13="",$A$13,$B$13)*MAX(0,AF$3-'데이터 기본'!$B$1)))</f>
        <v/>
      </c>
      <c r="AG14" s="83">
        <f>MIN('데이터 기본'!$G13,MAX(0,SUM('데이터 기본'!$G$12:$G13)-IF($B$13="",$A$13,$B$13)*MAX(0,AG$3-'데이터 기본'!$B$1)))</f>
        <v/>
      </c>
      <c r="AH14" s="83">
        <f>MIN('데이터 기본'!$G13,MAX(0,SUM('데이터 기본'!$G$12:$G13)-IF($B$13="",$A$13,$B$13)*MAX(0,AH$3-'데이터 기본'!$B$1)))</f>
        <v/>
      </c>
      <c r="AI14" s="83">
        <f>MIN('데이터 기본'!$G13,MAX(0,SUM('데이터 기본'!$G$12:$G13)-IF($B$13="",$A$13,$B$13)*MAX(0,AI$3-'데이터 기본'!$B$1)))</f>
        <v/>
      </c>
      <c r="AJ14" s="83">
        <f>MIN('데이터 기본'!$G13,MAX(0,SUM('데이터 기본'!$G$12:$G13)-IF($B$13="",$A$13,$B$13)*MAX(0,AJ$3-'데이터 기본'!$B$1)))</f>
        <v/>
      </c>
      <c r="AK14" s="83">
        <f>MIN('데이터 기본'!$G13,MAX(0,SUM('데이터 기본'!$G$12:$G13)-IF($B$13="",$A$13,$B$13)*MAX(0,AK$3-'데이터 기본'!$B$1)))</f>
        <v/>
      </c>
    </row>
    <row r="15">
      <c r="A15" s="72" t="n"/>
      <c r="C15" s="69" t="n"/>
      <c r="D15" s="69" t="n"/>
      <c r="E15" s="69" t="n"/>
      <c r="F15" s="52" t="n">
        <v>46519</v>
      </c>
      <c r="G15" s="81">
        <f>MIN('데이터 기본'!$G14,MAX(0,SUM('데이터 기본'!$G$12:$G14)-IF($B$13="",$A$13,$B$13)*MAX(0,G$3-'데이터 기본'!$B$1)))</f>
        <v/>
      </c>
      <c r="H15" s="82">
        <f>MIN('데이터 기본'!$G14,MAX(0,SUM('데이터 기본'!$G$12:$G14)-IF($B$13="",$A$13,$B$13)*MAX(0,H$3-'데이터 기본'!$B$1)))</f>
        <v/>
      </c>
      <c r="I15" s="82">
        <f>MIN('데이터 기본'!$G14,MAX(0,SUM('데이터 기본'!$G$12:$G14)-IF($B$13="",$A$13,$B$13)*MAX(0,I$3-'데이터 기본'!$B$1)))</f>
        <v/>
      </c>
      <c r="J15" s="82">
        <f>MIN('데이터 기본'!$G14,MAX(0,SUM('데이터 기본'!$G$12:$G14)-IF($B$13="",$A$13,$B$13)*MAX(0,J$3-'데이터 기본'!$B$1)))</f>
        <v/>
      </c>
      <c r="K15" s="82">
        <f>MIN('데이터 기본'!$G14,MAX(0,SUM('데이터 기본'!$G$12:$G14)-IF($B$13="",$A$13,$B$13)*MAX(0,K$3-'데이터 기본'!$B$1)))</f>
        <v/>
      </c>
      <c r="L15" s="82">
        <f>MIN('데이터 기본'!$G14,MAX(0,SUM('데이터 기본'!$G$12:$G14)-IF($B$13="",$A$13,$B$13)*MAX(0,L$3-'데이터 기본'!$B$1)))</f>
        <v/>
      </c>
      <c r="M15" s="82">
        <f>MIN('데이터 기본'!$G14,MAX(0,SUM('데이터 기본'!$G$12:$G14)-IF($B$13="",$A$13,$B$13)*MAX(0,M$3-'데이터 기본'!$B$1)))</f>
        <v/>
      </c>
      <c r="N15" s="82">
        <f>MIN('데이터 기본'!$G14,MAX(0,SUM('데이터 기본'!$G$12:$G14)-IF($B$13="",$A$13,$B$13)*MAX(0,N$3-'데이터 기본'!$B$1)))</f>
        <v/>
      </c>
      <c r="O15" s="82">
        <f>MIN('데이터 기본'!$G14,MAX(0,SUM('데이터 기본'!$G$12:$G14)-IF($B$13="",$A$13,$B$13)*MAX(0,O$3-'데이터 기본'!$B$1)))</f>
        <v/>
      </c>
      <c r="P15" s="82">
        <f>MIN('데이터 기본'!$G14,MAX(0,SUM('데이터 기본'!$G$12:$G14)-IF($B$13="",$A$13,$B$13)*MAX(0,P$3-'데이터 기본'!$B$1)))</f>
        <v/>
      </c>
      <c r="Q15" s="82">
        <f>MIN('데이터 기본'!$G14,MAX(0,SUM('데이터 기본'!$G$12:$G14)-IF($B$13="",$A$13,$B$13)*MAX(0,Q$3-'데이터 기본'!$B$1)))</f>
        <v/>
      </c>
      <c r="R15" s="82">
        <f>MIN('데이터 기본'!$G14,MAX(0,SUM('데이터 기본'!$G$12:$G14)-IF($B$13="",$A$13,$B$13)*MAX(0,R$3-'데이터 기본'!$B$1)))</f>
        <v/>
      </c>
      <c r="S15" s="82">
        <f>MIN('데이터 기본'!$G14,MAX(0,SUM('데이터 기본'!$G$12:$G14)-IF($B$13="",$A$13,$B$13)*MAX(0,S$3-'데이터 기본'!$B$1)))</f>
        <v/>
      </c>
      <c r="T15" s="82">
        <f>MIN('데이터 기본'!$G14,MAX(0,SUM('데이터 기본'!$G$12:$G14)-IF($B$13="",$A$13,$B$13)*MAX(0,T$3-'데이터 기본'!$B$1)))</f>
        <v/>
      </c>
      <c r="U15" s="82">
        <f>MIN('데이터 기본'!$G14,MAX(0,SUM('데이터 기본'!$G$12:$G14)-IF($B$13="",$A$13,$B$13)*MAX(0,U$3-'데이터 기본'!$B$1)))</f>
        <v/>
      </c>
      <c r="V15" s="82">
        <f>MIN('데이터 기본'!$G14,MAX(0,SUM('데이터 기본'!$G$12:$G14)-IF($B$13="",$A$13,$B$13)*MAX(0,V$3-'데이터 기본'!$B$1)))</f>
        <v/>
      </c>
      <c r="W15" s="82">
        <f>MIN('데이터 기본'!$G14,MAX(0,SUM('데이터 기본'!$G$12:$G14)-IF($B$13="",$A$13,$B$13)*MAX(0,W$3-'데이터 기본'!$B$1)))</f>
        <v/>
      </c>
      <c r="X15" s="82">
        <f>MIN('데이터 기본'!$G14,MAX(0,SUM('데이터 기본'!$G$12:$G14)-IF($B$13="",$A$13,$B$13)*MAX(0,X$3-'데이터 기본'!$B$1)))</f>
        <v/>
      </c>
      <c r="Y15" s="82">
        <f>MIN('데이터 기본'!$G14,MAX(0,SUM('데이터 기본'!$G$12:$G14)-IF($B$13="",$A$13,$B$13)*MAX(0,Y$3-'데이터 기본'!$B$1)))</f>
        <v/>
      </c>
      <c r="Z15" s="82">
        <f>MIN('데이터 기본'!$G14,MAX(0,SUM('데이터 기본'!$G$12:$G14)-IF($B$13="",$A$13,$B$13)*MAX(0,Z$3-'데이터 기본'!$B$1)))</f>
        <v/>
      </c>
      <c r="AA15" s="82">
        <f>MIN('데이터 기본'!$G14,MAX(0,SUM('데이터 기본'!$G$12:$G14)-IF($B$13="",$A$13,$B$13)*MAX(0,AA$3-'데이터 기본'!$B$1)))</f>
        <v/>
      </c>
      <c r="AB15" s="82">
        <f>MIN('데이터 기본'!$G14,MAX(0,SUM('데이터 기본'!$G$12:$G14)-IF($B$13="",$A$13,$B$13)*MAX(0,AB$3-'데이터 기본'!$B$1)))</f>
        <v/>
      </c>
      <c r="AC15" s="82">
        <f>MIN('데이터 기본'!$G14,MAX(0,SUM('데이터 기본'!$G$12:$G14)-IF($B$13="",$A$13,$B$13)*MAX(0,AC$3-'데이터 기본'!$B$1)))</f>
        <v/>
      </c>
      <c r="AD15" s="83">
        <f>MIN('데이터 기본'!$G14,MAX(0,SUM('데이터 기본'!$G$12:$G14)-IF($B$13="",$A$13,$B$13)*MAX(0,AD$3-'데이터 기본'!$B$1)))</f>
        <v/>
      </c>
      <c r="AE15" s="83">
        <f>MIN('데이터 기본'!$G14,MAX(0,SUM('데이터 기본'!$G$12:$G14)-IF($B$13="",$A$13,$B$13)*MAX(0,AE$3-'데이터 기본'!$B$1)))</f>
        <v/>
      </c>
      <c r="AF15" s="83">
        <f>MIN('데이터 기본'!$G14,MAX(0,SUM('데이터 기본'!$G$12:$G14)-IF($B$13="",$A$13,$B$13)*MAX(0,AF$3-'데이터 기본'!$B$1)))</f>
        <v/>
      </c>
      <c r="AG15" s="83">
        <f>MIN('데이터 기본'!$G14,MAX(0,SUM('데이터 기본'!$G$12:$G14)-IF($B$13="",$A$13,$B$13)*MAX(0,AG$3-'데이터 기본'!$B$1)))</f>
        <v/>
      </c>
      <c r="AH15" s="83">
        <f>MIN('데이터 기본'!$G14,MAX(0,SUM('데이터 기본'!$G$12:$G14)-IF($B$13="",$A$13,$B$13)*MAX(0,AH$3-'데이터 기본'!$B$1)))</f>
        <v/>
      </c>
      <c r="AI15" s="83">
        <f>MIN('데이터 기본'!$G14,MAX(0,SUM('데이터 기본'!$G$12:$G14)-IF($B$13="",$A$13,$B$13)*MAX(0,AI$3-'데이터 기본'!$B$1)))</f>
        <v/>
      </c>
      <c r="AJ15" s="83">
        <f>MIN('데이터 기본'!$G14,MAX(0,SUM('데이터 기본'!$G$12:$G14)-IF($B$13="",$A$13,$B$13)*MAX(0,AJ$3-'데이터 기본'!$B$1)))</f>
        <v/>
      </c>
      <c r="AK15" s="83">
        <f>MIN('데이터 기본'!$G14,MAX(0,SUM('데이터 기본'!$G$12:$G14)-IF($B$13="",$A$13,$B$13)*MAX(0,AK$3-'데이터 기본'!$B$1)))</f>
        <v/>
      </c>
    </row>
    <row r="16">
      <c r="A16" s="71" t="n"/>
      <c r="C16" s="70" t="n"/>
      <c r="D16" s="70" t="n"/>
      <c r="E16" s="70" t="n"/>
      <c r="F16" s="52" t="n">
        <v>46521</v>
      </c>
      <c r="G16" s="81">
        <f>MIN('데이터 기본'!$G15,MAX(0,SUM('데이터 기본'!$G$12:$G15)-IF($B$13="",$A$13,$B$13)*MAX(0,G$3-'데이터 기본'!$B$1)))</f>
        <v/>
      </c>
      <c r="H16" s="82">
        <f>MIN('데이터 기본'!$G15,MAX(0,SUM('데이터 기본'!$G$12:$G15)-IF($B$13="",$A$13,$B$13)*MAX(0,H$3-'데이터 기본'!$B$1)))</f>
        <v/>
      </c>
      <c r="I16" s="82">
        <f>MIN('데이터 기본'!$G15,MAX(0,SUM('데이터 기본'!$G$12:$G15)-IF($B$13="",$A$13,$B$13)*MAX(0,I$3-'데이터 기본'!$B$1)))</f>
        <v/>
      </c>
      <c r="J16" s="82">
        <f>MIN('데이터 기본'!$G15,MAX(0,SUM('데이터 기본'!$G$12:$G15)-IF($B$13="",$A$13,$B$13)*MAX(0,J$3-'데이터 기본'!$B$1)))</f>
        <v/>
      </c>
      <c r="K16" s="82">
        <f>MIN('데이터 기본'!$G15,MAX(0,SUM('데이터 기본'!$G$12:$G15)-IF($B$13="",$A$13,$B$13)*MAX(0,K$3-'데이터 기본'!$B$1)))</f>
        <v/>
      </c>
      <c r="L16" s="82">
        <f>MIN('데이터 기본'!$G15,MAX(0,SUM('데이터 기본'!$G$12:$G15)-IF($B$13="",$A$13,$B$13)*MAX(0,L$3-'데이터 기본'!$B$1)))</f>
        <v/>
      </c>
      <c r="M16" s="82">
        <f>MIN('데이터 기본'!$G15,MAX(0,SUM('데이터 기본'!$G$12:$G15)-IF($B$13="",$A$13,$B$13)*MAX(0,M$3-'데이터 기본'!$B$1)))</f>
        <v/>
      </c>
      <c r="N16" s="82">
        <f>MIN('데이터 기본'!$G15,MAX(0,SUM('데이터 기본'!$G$12:$G15)-IF($B$13="",$A$13,$B$13)*MAX(0,N$3-'데이터 기본'!$B$1)))</f>
        <v/>
      </c>
      <c r="O16" s="82">
        <f>MIN('데이터 기본'!$G15,MAX(0,SUM('데이터 기본'!$G$12:$G15)-IF($B$13="",$A$13,$B$13)*MAX(0,O$3-'데이터 기본'!$B$1)))</f>
        <v/>
      </c>
      <c r="P16" s="82">
        <f>MIN('데이터 기본'!$G15,MAX(0,SUM('데이터 기본'!$G$12:$G15)-IF($B$13="",$A$13,$B$13)*MAX(0,P$3-'데이터 기본'!$B$1)))</f>
        <v/>
      </c>
      <c r="Q16" s="82">
        <f>MIN('데이터 기본'!$G15,MAX(0,SUM('데이터 기본'!$G$12:$G15)-IF($B$13="",$A$13,$B$13)*MAX(0,Q$3-'데이터 기본'!$B$1)))</f>
        <v/>
      </c>
      <c r="R16" s="82">
        <f>MIN('데이터 기본'!$G15,MAX(0,SUM('데이터 기본'!$G$12:$G15)-IF($B$13="",$A$13,$B$13)*MAX(0,R$3-'데이터 기본'!$B$1)))</f>
        <v/>
      </c>
      <c r="S16" s="82">
        <f>MIN('데이터 기본'!$G15,MAX(0,SUM('데이터 기본'!$G$12:$G15)-IF($B$13="",$A$13,$B$13)*MAX(0,S$3-'데이터 기본'!$B$1)))</f>
        <v/>
      </c>
      <c r="T16" s="82">
        <f>MIN('데이터 기본'!$G15,MAX(0,SUM('데이터 기본'!$G$12:$G15)-IF($B$13="",$A$13,$B$13)*MAX(0,T$3-'데이터 기본'!$B$1)))</f>
        <v/>
      </c>
      <c r="U16" s="82">
        <f>MIN('데이터 기본'!$G15,MAX(0,SUM('데이터 기본'!$G$12:$G15)-IF($B$13="",$A$13,$B$13)*MAX(0,U$3-'데이터 기본'!$B$1)))</f>
        <v/>
      </c>
      <c r="V16" s="82">
        <f>MIN('데이터 기본'!$G15,MAX(0,SUM('데이터 기본'!$G$12:$G15)-IF($B$13="",$A$13,$B$13)*MAX(0,V$3-'데이터 기본'!$B$1)))</f>
        <v/>
      </c>
      <c r="W16" s="82">
        <f>MIN('데이터 기본'!$G15,MAX(0,SUM('데이터 기본'!$G$12:$G15)-IF($B$13="",$A$13,$B$13)*MAX(0,W$3-'데이터 기본'!$B$1)))</f>
        <v/>
      </c>
      <c r="X16" s="82">
        <f>MIN('데이터 기본'!$G15,MAX(0,SUM('데이터 기본'!$G$12:$G15)-IF($B$13="",$A$13,$B$13)*MAX(0,X$3-'데이터 기본'!$B$1)))</f>
        <v/>
      </c>
      <c r="Y16" s="82">
        <f>MIN('데이터 기본'!$G15,MAX(0,SUM('데이터 기본'!$G$12:$G15)-IF($B$13="",$A$13,$B$13)*MAX(0,Y$3-'데이터 기본'!$B$1)))</f>
        <v/>
      </c>
      <c r="Z16" s="82">
        <f>MIN('데이터 기본'!$G15,MAX(0,SUM('데이터 기본'!$G$12:$G15)-IF($B$13="",$A$13,$B$13)*MAX(0,Z$3-'데이터 기본'!$B$1)))</f>
        <v/>
      </c>
      <c r="AA16" s="82">
        <f>MIN('데이터 기본'!$G15,MAX(0,SUM('데이터 기본'!$G$12:$G15)-IF($B$13="",$A$13,$B$13)*MAX(0,AA$3-'데이터 기본'!$B$1)))</f>
        <v/>
      </c>
      <c r="AB16" s="82">
        <f>MIN('데이터 기본'!$G15,MAX(0,SUM('데이터 기본'!$G$12:$G15)-IF($B$13="",$A$13,$B$13)*MAX(0,AB$3-'데이터 기본'!$B$1)))</f>
        <v/>
      </c>
      <c r="AC16" s="82">
        <f>MIN('데이터 기본'!$G15,MAX(0,SUM('데이터 기본'!$G$12:$G15)-IF($B$13="",$A$13,$B$13)*MAX(0,AC$3-'데이터 기본'!$B$1)))</f>
        <v/>
      </c>
      <c r="AD16" s="83">
        <f>MIN('데이터 기본'!$G15,MAX(0,SUM('데이터 기본'!$G$12:$G15)-IF($B$13="",$A$13,$B$13)*MAX(0,AD$3-'데이터 기본'!$B$1)))</f>
        <v/>
      </c>
      <c r="AE16" s="83">
        <f>MIN('데이터 기본'!$G15,MAX(0,SUM('데이터 기본'!$G$12:$G15)-IF($B$13="",$A$13,$B$13)*MAX(0,AE$3-'데이터 기본'!$B$1)))</f>
        <v/>
      </c>
      <c r="AF16" s="83">
        <f>MIN('데이터 기본'!$G15,MAX(0,SUM('데이터 기본'!$G$12:$G15)-IF($B$13="",$A$13,$B$13)*MAX(0,AF$3-'데이터 기본'!$B$1)))</f>
        <v/>
      </c>
      <c r="AG16" s="83">
        <f>MIN('데이터 기본'!$G15,MAX(0,SUM('데이터 기본'!$G$12:$G15)-IF($B$13="",$A$13,$B$13)*MAX(0,AG$3-'데이터 기본'!$B$1)))</f>
        <v/>
      </c>
      <c r="AH16" s="83">
        <f>MIN('데이터 기본'!$G15,MAX(0,SUM('데이터 기본'!$G$12:$G15)-IF($B$13="",$A$13,$B$13)*MAX(0,AH$3-'데이터 기본'!$B$1)))</f>
        <v/>
      </c>
      <c r="AI16" s="83">
        <f>MIN('데이터 기본'!$G15,MAX(0,SUM('데이터 기본'!$G$12:$G15)-IF($B$13="",$A$13,$B$13)*MAX(0,AI$3-'데이터 기본'!$B$1)))</f>
        <v/>
      </c>
      <c r="AJ16" s="83">
        <f>MIN('데이터 기본'!$G15,MAX(0,SUM('데이터 기본'!$G$12:$G15)-IF($B$13="",$A$13,$B$13)*MAX(0,AJ$3-'데이터 기본'!$B$1)))</f>
        <v/>
      </c>
      <c r="AK16" s="83">
        <f>MIN('데이터 기본'!$G15,MAX(0,SUM('데이터 기본'!$G$12:$G15)-IF($B$13="",$A$13,$B$13)*MAX(0,AK$3-'데이터 기본'!$B$1)))</f>
        <v/>
      </c>
    </row>
    <row r="17">
      <c r="A17" s="10">
        <f>8*8/30</f>
        <v/>
      </c>
      <c r="B17" s="77" t="n"/>
      <c r="C17" s="30" t="inlineStr">
        <is>
          <t>덕</t>
        </is>
      </c>
      <c r="D17" s="32" t="inlineStr">
        <is>
          <t>198g</t>
        </is>
      </c>
      <c r="E17" s="32" t="inlineStr">
        <is>
          <t>DBTE-7</t>
        </is>
      </c>
      <c r="F17" s="52" t="n">
        <v>46464</v>
      </c>
      <c r="G17" s="81">
        <f>MIN('데이터 기본'!$G16,MAX(0,SUM('데이터 기본'!$G$16:$G16)-IF($B$17="",$A$17,$B$17)*MAX(0,G$3-'데이터 기본'!$B$1)))</f>
        <v/>
      </c>
      <c r="H17" s="82">
        <f>MIN('데이터 기본'!$G16,MAX(0,SUM('데이터 기본'!$G$16:$G16)-IF($B$17="",$A$17,$B$17)*MAX(0,H$3-'데이터 기본'!$B$1)))</f>
        <v/>
      </c>
      <c r="I17" s="82">
        <f>MIN('데이터 기본'!$G16,MAX(0,SUM('데이터 기본'!$G$16:$G16)-IF($B$17="",$A$17,$B$17)*MAX(0,I$3-'데이터 기본'!$B$1)))</f>
        <v/>
      </c>
      <c r="J17" s="82">
        <f>MIN('데이터 기본'!$G16,MAX(0,SUM('데이터 기본'!$G$16:$G16)-IF($B$17="",$A$17,$B$17)*MAX(0,J$3-'데이터 기본'!$B$1)))</f>
        <v/>
      </c>
      <c r="K17" s="82">
        <f>MIN('데이터 기본'!$G16,MAX(0,SUM('데이터 기본'!$G$16:$G16)-IF($B$17="",$A$17,$B$17)*MAX(0,K$3-'데이터 기본'!$B$1)))</f>
        <v/>
      </c>
      <c r="L17" s="82">
        <f>MIN('데이터 기본'!$G16,MAX(0,SUM('데이터 기본'!$G$16:$G16)-IF($B$17="",$A$17,$B$17)*MAX(0,L$3-'데이터 기본'!$B$1)))</f>
        <v/>
      </c>
      <c r="M17" s="82">
        <f>MIN('데이터 기본'!$G16,MAX(0,SUM('데이터 기본'!$G$16:$G16)-IF($B$17="",$A$17,$B$17)*MAX(0,M$3-'데이터 기본'!$B$1)))</f>
        <v/>
      </c>
      <c r="N17" s="82">
        <f>MIN('데이터 기본'!$G16,MAX(0,SUM('데이터 기본'!$G$16:$G16)-IF($B$17="",$A$17,$B$17)*MAX(0,N$3-'데이터 기본'!$B$1)))</f>
        <v/>
      </c>
      <c r="O17" s="82">
        <f>MIN('데이터 기본'!$G16,MAX(0,SUM('데이터 기본'!$G$16:$G16)-IF($B$17="",$A$17,$B$17)*MAX(0,O$3-'데이터 기본'!$B$1)))</f>
        <v/>
      </c>
      <c r="P17" s="82">
        <f>MIN('데이터 기본'!$G16,MAX(0,SUM('데이터 기본'!$G$16:$G16)-IF($B$17="",$A$17,$B$17)*MAX(0,P$3-'데이터 기본'!$B$1)))</f>
        <v/>
      </c>
      <c r="Q17" s="82">
        <f>MIN('데이터 기본'!$G16,MAX(0,SUM('데이터 기본'!$G$16:$G16)-IF($B$17="",$A$17,$B$17)*MAX(0,Q$3-'데이터 기본'!$B$1)))</f>
        <v/>
      </c>
      <c r="R17" s="82">
        <f>MIN('데이터 기본'!$G16,MAX(0,SUM('데이터 기본'!$G$16:$G16)-IF($B$17="",$A$17,$B$17)*MAX(0,R$3-'데이터 기본'!$B$1)))</f>
        <v/>
      </c>
      <c r="S17" s="82">
        <f>MIN('데이터 기본'!$G16,MAX(0,SUM('데이터 기본'!$G$16:$G16)-IF($B$17="",$A$17,$B$17)*MAX(0,S$3-'데이터 기본'!$B$1)))</f>
        <v/>
      </c>
      <c r="T17" s="82">
        <f>MIN('데이터 기본'!$G16,MAX(0,SUM('데이터 기본'!$G$16:$G16)-IF($B$17="",$A$17,$B$17)*MAX(0,T$3-'데이터 기본'!$B$1)))</f>
        <v/>
      </c>
      <c r="U17" s="82">
        <f>MIN('데이터 기본'!$G16,MAX(0,SUM('데이터 기본'!$G$16:$G16)-IF($B$17="",$A$17,$B$17)*MAX(0,U$3-'데이터 기본'!$B$1)))</f>
        <v/>
      </c>
      <c r="V17" s="82">
        <f>MIN('데이터 기본'!$G16,MAX(0,SUM('데이터 기본'!$G$16:$G16)-IF($B$17="",$A$17,$B$17)*MAX(0,V$3-'데이터 기본'!$B$1)))</f>
        <v/>
      </c>
      <c r="W17" s="82">
        <f>MIN('데이터 기본'!$G16,MAX(0,SUM('데이터 기본'!$G$16:$G16)-IF($B$17="",$A$17,$B$17)*MAX(0,W$3-'데이터 기본'!$B$1)))</f>
        <v/>
      </c>
      <c r="X17" s="82">
        <f>MIN('데이터 기본'!$G16,MAX(0,SUM('데이터 기본'!$G$16:$G16)-IF($B$17="",$A$17,$B$17)*MAX(0,X$3-'데이터 기본'!$B$1)))</f>
        <v/>
      </c>
      <c r="Y17" s="82">
        <f>MIN('데이터 기본'!$G16,MAX(0,SUM('데이터 기본'!$G$16:$G16)-IF($B$17="",$A$17,$B$17)*MAX(0,Y$3-'데이터 기본'!$B$1)))</f>
        <v/>
      </c>
      <c r="Z17" s="82">
        <f>MIN('데이터 기본'!$G16,MAX(0,SUM('데이터 기본'!$G$16:$G16)-IF($B$17="",$A$17,$B$17)*MAX(0,Z$3-'데이터 기본'!$B$1)))</f>
        <v/>
      </c>
      <c r="AA17" s="82">
        <f>MIN('데이터 기본'!$G16,MAX(0,SUM('데이터 기본'!$G$16:$G16)-IF($B$17="",$A$17,$B$17)*MAX(0,AA$3-'데이터 기본'!$B$1)))</f>
        <v/>
      </c>
      <c r="AB17" s="82">
        <f>MIN('데이터 기본'!$G16,MAX(0,SUM('데이터 기본'!$G$16:$G16)-IF($B$17="",$A$17,$B$17)*MAX(0,AB$3-'데이터 기본'!$B$1)))</f>
        <v/>
      </c>
      <c r="AC17" s="82">
        <f>MIN('데이터 기본'!$G16,MAX(0,SUM('데이터 기본'!$G$16:$G16)-IF($B$17="",$A$17,$B$17)*MAX(0,AC$3-'데이터 기본'!$B$1)))</f>
        <v/>
      </c>
      <c r="AD17" s="83">
        <f>MIN('데이터 기본'!$G16,MAX(0,SUM('데이터 기본'!$G$16:$G16)-IF($B$17="",$A$17,$B$17)*MAX(0,AD$3-'데이터 기본'!$B$1)))</f>
        <v/>
      </c>
      <c r="AE17" s="83">
        <f>MIN('데이터 기본'!$G16,MAX(0,SUM('데이터 기본'!$G$16:$G16)-IF($B$17="",$A$17,$B$17)*MAX(0,AE$3-'데이터 기본'!$B$1)))</f>
        <v/>
      </c>
      <c r="AF17" s="83">
        <f>MIN('데이터 기본'!$G16,MAX(0,SUM('데이터 기본'!$G$16:$G16)-IF($B$17="",$A$17,$B$17)*MAX(0,AF$3-'데이터 기본'!$B$1)))</f>
        <v/>
      </c>
      <c r="AG17" s="83">
        <f>MIN('데이터 기본'!$G16,MAX(0,SUM('데이터 기본'!$G$16:$G16)-IF($B$17="",$A$17,$B$17)*MAX(0,AG$3-'데이터 기본'!$B$1)))</f>
        <v/>
      </c>
      <c r="AH17" s="83">
        <f>MIN('데이터 기본'!$G16,MAX(0,SUM('데이터 기본'!$G$16:$G16)-IF($B$17="",$A$17,$B$17)*MAX(0,AH$3-'데이터 기본'!$B$1)))</f>
        <v/>
      </c>
      <c r="AI17" s="83">
        <f>MIN('데이터 기본'!$G16,MAX(0,SUM('데이터 기본'!$G$16:$G16)-IF($B$17="",$A$17,$B$17)*MAX(0,AI$3-'데이터 기본'!$B$1)))</f>
        <v/>
      </c>
      <c r="AJ17" s="83">
        <f>MIN('데이터 기본'!$G16,MAX(0,SUM('데이터 기본'!$G$16:$G16)-IF($B$17="",$A$17,$B$17)*MAX(0,AJ$3-'데이터 기본'!$B$1)))</f>
        <v/>
      </c>
      <c r="AK17" s="83">
        <f>MIN('데이터 기본'!$G16,MAX(0,SUM('데이터 기본'!$G$16:$G16)-IF($B$17="",$A$17,$B$17)*MAX(0,AK$3-'데이터 기본'!$B$1)))</f>
        <v/>
      </c>
    </row>
    <row r="18">
      <c r="A18" s="71" t="n"/>
      <c r="C18" s="69" t="n"/>
      <c r="D18" s="70" t="n"/>
      <c r="E18" s="70" t="n"/>
      <c r="F18" s="52" t="n">
        <v>46510</v>
      </c>
      <c r="G18" s="81">
        <f>MIN('데이터 기본'!$G17,MAX(0,SUM('데이터 기본'!$G$16:$G17)-IF($B$17="",$A$17,$B$17)*MAX(0,G$3-'데이터 기본'!$B$1)))</f>
        <v/>
      </c>
      <c r="H18" s="82">
        <f>MIN('데이터 기본'!$G17,MAX(0,SUM('데이터 기본'!$G$16:$G17)-IF($B$17="",$A$17,$B$17)*MAX(0,H$3-'데이터 기본'!$B$1)))</f>
        <v/>
      </c>
      <c r="I18" s="82">
        <f>MIN('데이터 기본'!$G17,MAX(0,SUM('데이터 기본'!$G$16:$G17)-IF($B$17="",$A$17,$B$17)*MAX(0,I$3-'데이터 기본'!$B$1)))</f>
        <v/>
      </c>
      <c r="J18" s="82">
        <f>MIN('데이터 기본'!$G17,MAX(0,SUM('데이터 기본'!$G$16:$G17)-IF($B$17="",$A$17,$B$17)*MAX(0,J$3-'데이터 기본'!$B$1)))</f>
        <v/>
      </c>
      <c r="K18" s="82">
        <f>MIN('데이터 기본'!$G17,MAX(0,SUM('데이터 기본'!$G$16:$G17)-IF($B$17="",$A$17,$B$17)*MAX(0,K$3-'데이터 기본'!$B$1)))</f>
        <v/>
      </c>
      <c r="L18" s="82">
        <f>MIN('데이터 기본'!$G17,MAX(0,SUM('데이터 기본'!$G$16:$G17)-IF($B$17="",$A$17,$B$17)*MAX(0,L$3-'데이터 기본'!$B$1)))</f>
        <v/>
      </c>
      <c r="M18" s="82">
        <f>MIN('데이터 기본'!$G17,MAX(0,SUM('데이터 기본'!$G$16:$G17)-IF($B$17="",$A$17,$B$17)*MAX(0,M$3-'데이터 기본'!$B$1)))</f>
        <v/>
      </c>
      <c r="N18" s="82">
        <f>MIN('데이터 기본'!$G17,MAX(0,SUM('데이터 기본'!$G$16:$G17)-IF($B$17="",$A$17,$B$17)*MAX(0,N$3-'데이터 기본'!$B$1)))</f>
        <v/>
      </c>
      <c r="O18" s="82">
        <f>MIN('데이터 기본'!$G17,MAX(0,SUM('데이터 기본'!$G$16:$G17)-IF($B$17="",$A$17,$B$17)*MAX(0,O$3-'데이터 기본'!$B$1)))</f>
        <v/>
      </c>
      <c r="P18" s="82">
        <f>MIN('데이터 기본'!$G17,MAX(0,SUM('데이터 기본'!$G$16:$G17)-IF($B$17="",$A$17,$B$17)*MAX(0,P$3-'데이터 기본'!$B$1)))</f>
        <v/>
      </c>
      <c r="Q18" s="82">
        <f>MIN('데이터 기본'!$G17,MAX(0,SUM('데이터 기본'!$G$16:$G17)-IF($B$17="",$A$17,$B$17)*MAX(0,Q$3-'데이터 기본'!$B$1)))</f>
        <v/>
      </c>
      <c r="R18" s="82">
        <f>MIN('데이터 기본'!$G17,MAX(0,SUM('데이터 기본'!$G$16:$G17)-IF($B$17="",$A$17,$B$17)*MAX(0,R$3-'데이터 기본'!$B$1)))</f>
        <v/>
      </c>
      <c r="S18" s="82">
        <f>MIN('데이터 기본'!$G17,MAX(0,SUM('데이터 기본'!$G$16:$G17)-IF($B$17="",$A$17,$B$17)*MAX(0,S$3-'데이터 기본'!$B$1)))</f>
        <v/>
      </c>
      <c r="T18" s="82">
        <f>MIN('데이터 기본'!$G17,MAX(0,SUM('데이터 기본'!$G$16:$G17)-IF($B$17="",$A$17,$B$17)*MAX(0,T$3-'데이터 기본'!$B$1)))</f>
        <v/>
      </c>
      <c r="U18" s="82">
        <f>MIN('데이터 기본'!$G17,MAX(0,SUM('데이터 기본'!$G$16:$G17)-IF($B$17="",$A$17,$B$17)*MAX(0,U$3-'데이터 기본'!$B$1)))</f>
        <v/>
      </c>
      <c r="V18" s="82">
        <f>MIN('데이터 기본'!$G17,MAX(0,SUM('데이터 기본'!$G$16:$G17)-IF($B$17="",$A$17,$B$17)*MAX(0,V$3-'데이터 기본'!$B$1)))</f>
        <v/>
      </c>
      <c r="W18" s="82">
        <f>MIN('데이터 기본'!$G17,MAX(0,SUM('데이터 기본'!$G$16:$G17)-IF($B$17="",$A$17,$B$17)*MAX(0,W$3-'데이터 기본'!$B$1)))</f>
        <v/>
      </c>
      <c r="X18" s="82">
        <f>MIN('데이터 기본'!$G17,MAX(0,SUM('데이터 기본'!$G$16:$G17)-IF($B$17="",$A$17,$B$17)*MAX(0,X$3-'데이터 기본'!$B$1)))</f>
        <v/>
      </c>
      <c r="Y18" s="82">
        <f>MIN('데이터 기본'!$G17,MAX(0,SUM('데이터 기본'!$G$16:$G17)-IF($B$17="",$A$17,$B$17)*MAX(0,Y$3-'데이터 기본'!$B$1)))</f>
        <v/>
      </c>
      <c r="Z18" s="82">
        <f>MIN('데이터 기본'!$G17,MAX(0,SUM('데이터 기본'!$G$16:$G17)-IF($B$17="",$A$17,$B$17)*MAX(0,Z$3-'데이터 기본'!$B$1)))</f>
        <v/>
      </c>
      <c r="AA18" s="82">
        <f>MIN('데이터 기본'!$G17,MAX(0,SUM('데이터 기본'!$G$16:$G17)-IF($B$17="",$A$17,$B$17)*MAX(0,AA$3-'데이터 기본'!$B$1)))</f>
        <v/>
      </c>
      <c r="AB18" s="82">
        <f>MIN('데이터 기본'!$G17,MAX(0,SUM('데이터 기본'!$G$16:$G17)-IF($B$17="",$A$17,$B$17)*MAX(0,AB$3-'데이터 기본'!$B$1)))</f>
        <v/>
      </c>
      <c r="AC18" s="82">
        <f>MIN('데이터 기본'!$G17,MAX(0,SUM('데이터 기본'!$G$16:$G17)-IF($B$17="",$A$17,$B$17)*MAX(0,AC$3-'데이터 기본'!$B$1)))</f>
        <v/>
      </c>
      <c r="AD18" s="83">
        <f>MIN('데이터 기본'!$G17,MAX(0,SUM('데이터 기본'!$G$16:$G17)-IF($B$17="",$A$17,$B$17)*MAX(0,AD$3-'데이터 기본'!$B$1)))</f>
        <v/>
      </c>
      <c r="AE18" s="83">
        <f>MIN('데이터 기본'!$G17,MAX(0,SUM('데이터 기본'!$G$16:$G17)-IF($B$17="",$A$17,$B$17)*MAX(0,AE$3-'데이터 기본'!$B$1)))</f>
        <v/>
      </c>
      <c r="AF18" s="83">
        <f>MIN('데이터 기본'!$G17,MAX(0,SUM('데이터 기본'!$G$16:$G17)-IF($B$17="",$A$17,$B$17)*MAX(0,AF$3-'데이터 기본'!$B$1)))</f>
        <v/>
      </c>
      <c r="AG18" s="83">
        <f>MIN('데이터 기본'!$G17,MAX(0,SUM('데이터 기본'!$G$16:$G17)-IF($B$17="",$A$17,$B$17)*MAX(0,AG$3-'데이터 기본'!$B$1)))</f>
        <v/>
      </c>
      <c r="AH18" s="83">
        <f>MIN('데이터 기본'!$G17,MAX(0,SUM('데이터 기본'!$G$16:$G17)-IF($B$17="",$A$17,$B$17)*MAX(0,AH$3-'데이터 기본'!$B$1)))</f>
        <v/>
      </c>
      <c r="AI18" s="83">
        <f>MIN('데이터 기본'!$G17,MAX(0,SUM('데이터 기본'!$G$16:$G17)-IF($B$17="",$A$17,$B$17)*MAX(0,AI$3-'데이터 기본'!$B$1)))</f>
        <v/>
      </c>
      <c r="AJ18" s="83">
        <f>MIN('데이터 기본'!$G17,MAX(0,SUM('데이터 기본'!$G$16:$G17)-IF($B$17="",$A$17,$B$17)*MAX(0,AJ$3-'데이터 기본'!$B$1)))</f>
        <v/>
      </c>
      <c r="AK18" s="83">
        <f>MIN('데이터 기본'!$G17,MAX(0,SUM('데이터 기본'!$G$16:$G17)-IF($B$17="",$A$17,$B$17)*MAX(0,AK$3-'데이터 기본'!$B$1)))</f>
        <v/>
      </c>
    </row>
    <row r="19">
      <c r="A19" s="73">
        <f>4*4/30</f>
        <v/>
      </c>
      <c r="B19" s="77" t="n"/>
      <c r="C19" s="69" t="n"/>
      <c r="D19" s="32" t="inlineStr">
        <is>
          <t>539g</t>
        </is>
      </c>
      <c r="E19" s="32" t="inlineStr">
        <is>
          <t>DBTE-19</t>
        </is>
      </c>
      <c r="F19" s="52" t="n">
        <v>46501</v>
      </c>
      <c r="G19" s="81">
        <f>MIN('데이터 기본'!$G18,MAX(0,SUM('데이터 기본'!$G$18:$G18)-IF($B$19="",$A$19,$B$19)*MAX(0,G$3-'데이터 기본'!$B$1)))</f>
        <v/>
      </c>
      <c r="H19" s="82">
        <f>MIN('데이터 기본'!$G18,MAX(0,SUM('데이터 기본'!$G$18:$G18)-IF($B$19="",$A$19,$B$19)*MAX(0,H$3-'데이터 기본'!$B$1)))</f>
        <v/>
      </c>
      <c r="I19" s="82">
        <f>MIN('데이터 기본'!$G18,MAX(0,SUM('데이터 기본'!$G$18:$G18)-IF($B$19="",$A$19,$B$19)*MAX(0,I$3-'데이터 기본'!$B$1)))</f>
        <v/>
      </c>
      <c r="J19" s="82">
        <f>MIN('데이터 기본'!$G18,MAX(0,SUM('데이터 기본'!$G$18:$G18)-IF($B$19="",$A$19,$B$19)*MAX(0,J$3-'데이터 기본'!$B$1)))</f>
        <v/>
      </c>
      <c r="K19" s="82">
        <f>MIN('데이터 기본'!$G18,MAX(0,SUM('데이터 기본'!$G$18:$G18)-IF($B$19="",$A$19,$B$19)*MAX(0,K$3-'데이터 기본'!$B$1)))</f>
        <v/>
      </c>
      <c r="L19" s="82">
        <f>MIN('데이터 기본'!$G18,MAX(0,SUM('데이터 기본'!$G$18:$G18)-IF($B$19="",$A$19,$B$19)*MAX(0,L$3-'데이터 기본'!$B$1)))</f>
        <v/>
      </c>
      <c r="M19" s="82">
        <f>MIN('데이터 기본'!$G18,MAX(0,SUM('데이터 기본'!$G$18:$G18)-IF($B$19="",$A$19,$B$19)*MAX(0,M$3-'데이터 기본'!$B$1)))</f>
        <v/>
      </c>
      <c r="N19" s="82">
        <f>MIN('데이터 기본'!$G18,MAX(0,SUM('데이터 기본'!$G$18:$G18)-IF($B$19="",$A$19,$B$19)*MAX(0,N$3-'데이터 기본'!$B$1)))</f>
        <v/>
      </c>
      <c r="O19" s="82">
        <f>MIN('데이터 기본'!$G18,MAX(0,SUM('데이터 기본'!$G$18:$G18)-IF($B$19="",$A$19,$B$19)*MAX(0,O$3-'데이터 기본'!$B$1)))</f>
        <v/>
      </c>
      <c r="P19" s="82">
        <f>MIN('데이터 기본'!$G18,MAX(0,SUM('데이터 기본'!$G$18:$G18)-IF($B$19="",$A$19,$B$19)*MAX(0,P$3-'데이터 기본'!$B$1)))</f>
        <v/>
      </c>
      <c r="Q19" s="82">
        <f>MIN('데이터 기본'!$G18,MAX(0,SUM('데이터 기본'!$G$18:$G18)-IF($B$19="",$A$19,$B$19)*MAX(0,Q$3-'데이터 기본'!$B$1)))</f>
        <v/>
      </c>
      <c r="R19" s="82">
        <f>MIN('데이터 기본'!$G18,MAX(0,SUM('데이터 기본'!$G$18:$G18)-IF($B$19="",$A$19,$B$19)*MAX(0,R$3-'데이터 기본'!$B$1)))</f>
        <v/>
      </c>
      <c r="S19" s="82">
        <f>MIN('데이터 기본'!$G18,MAX(0,SUM('데이터 기본'!$G$18:$G18)-IF($B$19="",$A$19,$B$19)*MAX(0,S$3-'데이터 기본'!$B$1)))</f>
        <v/>
      </c>
      <c r="T19" s="82">
        <f>MIN('데이터 기본'!$G18,MAX(0,SUM('데이터 기본'!$G$18:$G18)-IF($B$19="",$A$19,$B$19)*MAX(0,T$3-'데이터 기본'!$B$1)))</f>
        <v/>
      </c>
      <c r="U19" s="82">
        <f>MIN('데이터 기본'!$G18,MAX(0,SUM('데이터 기본'!$G$18:$G18)-IF($B$19="",$A$19,$B$19)*MAX(0,U$3-'데이터 기본'!$B$1)))</f>
        <v/>
      </c>
      <c r="V19" s="82">
        <f>MIN('데이터 기본'!$G18,MAX(0,SUM('데이터 기본'!$G$18:$G18)-IF($B$19="",$A$19,$B$19)*MAX(0,V$3-'데이터 기본'!$B$1)))</f>
        <v/>
      </c>
      <c r="W19" s="82">
        <f>MIN('데이터 기본'!$G18,MAX(0,SUM('데이터 기본'!$G$18:$G18)-IF($B$19="",$A$19,$B$19)*MAX(0,W$3-'데이터 기본'!$B$1)))</f>
        <v/>
      </c>
      <c r="X19" s="82">
        <f>MIN('데이터 기본'!$G18,MAX(0,SUM('데이터 기본'!$G$18:$G18)-IF($B$19="",$A$19,$B$19)*MAX(0,X$3-'데이터 기본'!$B$1)))</f>
        <v/>
      </c>
      <c r="Y19" s="82">
        <f>MIN('데이터 기본'!$G18,MAX(0,SUM('데이터 기본'!$G$18:$G18)-IF($B$19="",$A$19,$B$19)*MAX(0,Y$3-'데이터 기본'!$B$1)))</f>
        <v/>
      </c>
      <c r="Z19" s="82">
        <f>MIN('데이터 기본'!$G18,MAX(0,SUM('데이터 기본'!$G$18:$G18)-IF($B$19="",$A$19,$B$19)*MAX(0,Z$3-'데이터 기본'!$B$1)))</f>
        <v/>
      </c>
      <c r="AA19" s="82">
        <f>MIN('데이터 기본'!$G18,MAX(0,SUM('데이터 기본'!$G$18:$G18)-IF($B$19="",$A$19,$B$19)*MAX(0,AA$3-'데이터 기본'!$B$1)))</f>
        <v/>
      </c>
      <c r="AB19" s="82">
        <f>MIN('데이터 기본'!$G18,MAX(0,SUM('데이터 기본'!$G$18:$G18)-IF($B$19="",$A$19,$B$19)*MAX(0,AB$3-'데이터 기본'!$B$1)))</f>
        <v/>
      </c>
      <c r="AC19" s="82">
        <f>MIN('데이터 기본'!$G18,MAX(0,SUM('데이터 기본'!$G$18:$G18)-IF($B$19="",$A$19,$B$19)*MAX(0,AC$3-'데이터 기본'!$B$1)))</f>
        <v/>
      </c>
      <c r="AD19" s="83">
        <f>MIN('데이터 기본'!$G18,MAX(0,SUM('데이터 기본'!$G$18:$G18)-IF($B$19="",$A$19,$B$19)*MAX(0,AD$3-'데이터 기본'!$B$1)))</f>
        <v/>
      </c>
      <c r="AE19" s="83">
        <f>MIN('데이터 기본'!$G18,MAX(0,SUM('데이터 기본'!$G$18:$G18)-IF($B$19="",$A$19,$B$19)*MAX(0,AE$3-'데이터 기본'!$B$1)))</f>
        <v/>
      </c>
      <c r="AF19" s="83">
        <f>MIN('데이터 기본'!$G18,MAX(0,SUM('데이터 기본'!$G$18:$G18)-IF($B$19="",$A$19,$B$19)*MAX(0,AF$3-'데이터 기본'!$B$1)))</f>
        <v/>
      </c>
      <c r="AG19" s="83">
        <f>MIN('데이터 기본'!$G18,MAX(0,SUM('데이터 기본'!$G$18:$G18)-IF($B$19="",$A$19,$B$19)*MAX(0,AG$3-'데이터 기본'!$B$1)))</f>
        <v/>
      </c>
      <c r="AH19" s="83">
        <f>MIN('데이터 기본'!$G18,MAX(0,SUM('데이터 기본'!$G$18:$G18)-IF($B$19="",$A$19,$B$19)*MAX(0,AH$3-'데이터 기본'!$B$1)))</f>
        <v/>
      </c>
      <c r="AI19" s="83">
        <f>MIN('데이터 기본'!$G18,MAX(0,SUM('데이터 기본'!$G$18:$G18)-IF($B$19="",$A$19,$B$19)*MAX(0,AI$3-'데이터 기본'!$B$1)))</f>
        <v/>
      </c>
      <c r="AJ19" s="83">
        <f>MIN('데이터 기본'!$G18,MAX(0,SUM('데이터 기본'!$G$18:$G18)-IF($B$19="",$A$19,$B$19)*MAX(0,AJ$3-'데이터 기본'!$B$1)))</f>
        <v/>
      </c>
      <c r="AK19" s="83">
        <f>MIN('데이터 기본'!$G18,MAX(0,SUM('데이터 기본'!$G$18:$G18)-IF($B$19="",$A$19,$B$19)*MAX(0,AK$3-'데이터 기본'!$B$1)))</f>
        <v/>
      </c>
    </row>
    <row r="20">
      <c r="A20" s="75" t="n"/>
      <c r="C20" s="70" t="n"/>
      <c r="D20" s="70" t="n"/>
      <c r="E20" s="70" t="n"/>
      <c r="F20" s="53" t="n">
        <v>46521</v>
      </c>
      <c r="G20" s="84">
        <f>MIN('데이터 기본'!$G19,MAX(0,SUM('데이터 기본'!$G$18:$G19)-IF($B$19="",$A$19,$B$19)*MAX(0,G$3-'데이터 기본'!$B$1)))</f>
        <v/>
      </c>
      <c r="H20" s="85">
        <f>MIN('데이터 기본'!$G19,MAX(0,SUM('데이터 기본'!$G$18:$G19)-IF($B$19="",$A$19,$B$19)*MAX(0,H$3-'데이터 기본'!$B$1)))</f>
        <v/>
      </c>
      <c r="I20" s="85">
        <f>MIN('데이터 기본'!$G19,MAX(0,SUM('데이터 기본'!$G$18:$G19)-IF($B$19="",$A$19,$B$19)*MAX(0,I$3-'데이터 기본'!$B$1)))</f>
        <v/>
      </c>
      <c r="J20" s="85">
        <f>MIN('데이터 기본'!$G19,MAX(0,SUM('데이터 기본'!$G$18:$G19)-IF($B$19="",$A$19,$B$19)*MAX(0,J$3-'데이터 기본'!$B$1)))</f>
        <v/>
      </c>
      <c r="K20" s="85">
        <f>MIN('데이터 기본'!$G19,MAX(0,SUM('데이터 기본'!$G$18:$G19)-IF($B$19="",$A$19,$B$19)*MAX(0,K$3-'데이터 기본'!$B$1)))</f>
        <v/>
      </c>
      <c r="L20" s="85">
        <f>MIN('데이터 기본'!$G19,MAX(0,SUM('데이터 기본'!$G$18:$G19)-IF($B$19="",$A$19,$B$19)*MAX(0,L$3-'데이터 기본'!$B$1)))</f>
        <v/>
      </c>
      <c r="M20" s="85">
        <f>MIN('데이터 기본'!$G19,MAX(0,SUM('데이터 기본'!$G$18:$G19)-IF($B$19="",$A$19,$B$19)*MAX(0,M$3-'데이터 기본'!$B$1)))</f>
        <v/>
      </c>
      <c r="N20" s="85">
        <f>MIN('데이터 기본'!$G19,MAX(0,SUM('데이터 기본'!$G$18:$G19)-IF($B$19="",$A$19,$B$19)*MAX(0,N$3-'데이터 기본'!$B$1)))</f>
        <v/>
      </c>
      <c r="O20" s="85">
        <f>MIN('데이터 기본'!$G19,MAX(0,SUM('데이터 기본'!$G$18:$G19)-IF($B$19="",$A$19,$B$19)*MAX(0,O$3-'데이터 기본'!$B$1)))</f>
        <v/>
      </c>
      <c r="P20" s="85">
        <f>MIN('데이터 기본'!$G19,MAX(0,SUM('데이터 기본'!$G$18:$G19)-IF($B$19="",$A$19,$B$19)*MAX(0,P$3-'데이터 기본'!$B$1)))</f>
        <v/>
      </c>
      <c r="Q20" s="85">
        <f>MIN('데이터 기본'!$G19,MAX(0,SUM('데이터 기본'!$G$18:$G19)-IF($B$19="",$A$19,$B$19)*MAX(0,Q$3-'데이터 기본'!$B$1)))</f>
        <v/>
      </c>
      <c r="R20" s="85">
        <f>MIN('데이터 기본'!$G19,MAX(0,SUM('데이터 기본'!$G$18:$G19)-IF($B$19="",$A$19,$B$19)*MAX(0,R$3-'데이터 기본'!$B$1)))</f>
        <v/>
      </c>
      <c r="S20" s="85">
        <f>MIN('데이터 기본'!$G19,MAX(0,SUM('데이터 기본'!$G$18:$G19)-IF($B$19="",$A$19,$B$19)*MAX(0,S$3-'데이터 기본'!$B$1)))</f>
        <v/>
      </c>
      <c r="T20" s="85">
        <f>MIN('데이터 기본'!$G19,MAX(0,SUM('데이터 기본'!$G$18:$G19)-IF($B$19="",$A$19,$B$19)*MAX(0,T$3-'데이터 기본'!$B$1)))</f>
        <v/>
      </c>
      <c r="U20" s="85">
        <f>MIN('데이터 기본'!$G19,MAX(0,SUM('데이터 기본'!$G$18:$G19)-IF($B$19="",$A$19,$B$19)*MAX(0,U$3-'데이터 기본'!$B$1)))</f>
        <v/>
      </c>
      <c r="V20" s="85">
        <f>MIN('데이터 기본'!$G19,MAX(0,SUM('데이터 기본'!$G$18:$G19)-IF($B$19="",$A$19,$B$19)*MAX(0,V$3-'데이터 기본'!$B$1)))</f>
        <v/>
      </c>
      <c r="W20" s="85">
        <f>MIN('데이터 기본'!$G19,MAX(0,SUM('데이터 기본'!$G$18:$G19)-IF($B$19="",$A$19,$B$19)*MAX(0,W$3-'데이터 기본'!$B$1)))</f>
        <v/>
      </c>
      <c r="X20" s="85">
        <f>MIN('데이터 기본'!$G19,MAX(0,SUM('데이터 기본'!$G$18:$G19)-IF($B$19="",$A$19,$B$19)*MAX(0,X$3-'데이터 기본'!$B$1)))</f>
        <v/>
      </c>
      <c r="Y20" s="85">
        <f>MIN('데이터 기본'!$G19,MAX(0,SUM('데이터 기본'!$G$18:$G19)-IF($B$19="",$A$19,$B$19)*MAX(0,Y$3-'데이터 기본'!$B$1)))</f>
        <v/>
      </c>
      <c r="Z20" s="85">
        <f>MIN('데이터 기본'!$G19,MAX(0,SUM('데이터 기본'!$G$18:$G19)-IF($B$19="",$A$19,$B$19)*MAX(0,Z$3-'데이터 기본'!$B$1)))</f>
        <v/>
      </c>
      <c r="AA20" s="85">
        <f>MIN('데이터 기본'!$G19,MAX(0,SUM('데이터 기본'!$G$18:$G19)-IF($B$19="",$A$19,$B$19)*MAX(0,AA$3-'데이터 기본'!$B$1)))</f>
        <v/>
      </c>
      <c r="AB20" s="85">
        <f>MIN('데이터 기본'!$G19,MAX(0,SUM('데이터 기본'!$G$18:$G19)-IF($B$19="",$A$19,$B$19)*MAX(0,AB$3-'데이터 기본'!$B$1)))</f>
        <v/>
      </c>
      <c r="AC20" s="85">
        <f>MIN('데이터 기본'!$G19,MAX(0,SUM('데이터 기본'!$G$18:$G19)-IF($B$19="",$A$19,$B$19)*MAX(0,AC$3-'데이터 기본'!$B$1)))</f>
        <v/>
      </c>
      <c r="AD20" s="86">
        <f>MIN('데이터 기본'!$G19,MAX(0,SUM('데이터 기본'!$G$18:$G19)-IF($B$19="",$A$19,$B$19)*MAX(0,AD$3-'데이터 기본'!$B$1)))</f>
        <v/>
      </c>
      <c r="AE20" s="86">
        <f>MIN('데이터 기본'!$G19,MAX(0,SUM('데이터 기본'!$G$18:$G19)-IF($B$19="",$A$19,$B$19)*MAX(0,AE$3-'데이터 기본'!$B$1)))</f>
        <v/>
      </c>
      <c r="AF20" s="86">
        <f>MIN('데이터 기본'!$G19,MAX(0,SUM('데이터 기본'!$G$18:$G19)-IF($B$19="",$A$19,$B$19)*MAX(0,AF$3-'데이터 기본'!$B$1)))</f>
        <v/>
      </c>
      <c r="AG20" s="86">
        <f>MIN('데이터 기본'!$G19,MAX(0,SUM('데이터 기본'!$G$18:$G19)-IF($B$19="",$A$19,$B$19)*MAX(0,AG$3-'데이터 기본'!$B$1)))</f>
        <v/>
      </c>
      <c r="AH20" s="86">
        <f>MIN('데이터 기본'!$G19,MAX(0,SUM('데이터 기본'!$G$18:$G19)-IF($B$19="",$A$19,$B$19)*MAX(0,AH$3-'데이터 기본'!$B$1)))</f>
        <v/>
      </c>
      <c r="AI20" s="86">
        <f>MIN('데이터 기본'!$G19,MAX(0,SUM('데이터 기본'!$G$18:$G19)-IF($B$19="",$A$19,$B$19)*MAX(0,AI$3-'데이터 기본'!$B$1)))</f>
        <v/>
      </c>
      <c r="AJ20" s="86">
        <f>MIN('데이터 기본'!$G19,MAX(0,SUM('데이터 기본'!$G$18:$G19)-IF($B$19="",$A$19,$B$19)*MAX(0,AJ$3-'데이터 기본'!$B$1)))</f>
        <v/>
      </c>
      <c r="AK20" s="86">
        <f>MIN('데이터 기본'!$G19,MAX(0,SUM('데이터 기본'!$G$18:$G19)-IF($B$19="",$A$19,$B$19)*MAX(0,AK$3-'데이터 기본'!$B$1)))</f>
        <v/>
      </c>
    </row>
  </sheetData>
  <mergeCells count="23">
    <mergeCell ref="E17:E18"/>
    <mergeCell ref="C5:C8"/>
    <mergeCell ref="B17:B18"/>
    <mergeCell ref="D17:D18"/>
    <mergeCell ref="A6:A7"/>
    <mergeCell ref="E19:E20"/>
    <mergeCell ref="E13:E16"/>
    <mergeCell ref="E9:E12"/>
    <mergeCell ref="E6:E7"/>
    <mergeCell ref="B6:B7"/>
    <mergeCell ref="B19:B20"/>
    <mergeCell ref="B13:B16"/>
    <mergeCell ref="C9:C16"/>
    <mergeCell ref="D13:D16"/>
    <mergeCell ref="B9:B12"/>
    <mergeCell ref="A17:A18"/>
    <mergeCell ref="C17:C20"/>
    <mergeCell ref="A19:A20"/>
    <mergeCell ref="A13:A16"/>
    <mergeCell ref="D19:D20"/>
    <mergeCell ref="D9:D12"/>
    <mergeCell ref="A9:A12"/>
    <mergeCell ref="D6:D7"/>
  </mergeCells>
  <conditionalFormatting sqref="G5:AK5">
    <cfRule type="expression" priority="1" dxfId="0">
      <formula>AND(AND(ISNUMBER($B$5),$B$5&gt;0),G5&lt;=0)</formula>
    </cfRule>
  </conditionalFormatting>
  <conditionalFormatting sqref="F5">
    <cfRule type="expression" priority="2" dxfId="1" stopIfTrue="1">
      <formula>AND(AND(ISNUMBER($B$5),$B$5&gt;0),'데이터 기본'!$B$1+SUM('데이터 기본'!$G$4:$G4)/$B$5&lt;=$F5-30)</formula>
    </cfRule>
    <cfRule type="expression" priority="3" dxfId="0">
      <formula>AND(ISNUMBER($B$5),$B$5&gt;0)</formula>
    </cfRule>
  </conditionalFormatting>
  <conditionalFormatting sqref="G6:AK6">
    <cfRule type="expression" priority="4" dxfId="0">
      <formula>AND(AND(ISNUMBER($B$6),$B$6&gt;0),G6&lt;=0)</formula>
    </cfRule>
  </conditionalFormatting>
  <conditionalFormatting sqref="F6">
    <cfRule type="expression" priority="5" dxfId="1" stopIfTrue="1">
      <formula>AND(AND(ISNUMBER($B$6),$B$6&gt;0),'데이터 기본'!$B$1+SUM('데이터 기본'!$G$5:$G5)/$B$6&lt;=$F6-30)</formula>
    </cfRule>
    <cfRule type="expression" priority="6" dxfId="0">
      <formula>AND(ISNUMBER($B$6),$B$6&gt;0)</formula>
    </cfRule>
  </conditionalFormatting>
  <conditionalFormatting sqref="G7:AK7">
    <cfRule type="expression" priority="7" dxfId="0">
      <formula>AND(AND(ISNUMBER($B$6),$B$6&gt;0),G7&lt;=0)</formula>
    </cfRule>
  </conditionalFormatting>
  <conditionalFormatting sqref="F7">
    <cfRule type="expression" priority="8" dxfId="1" stopIfTrue="1">
      <formula>AND(AND(ISNUMBER($B$6),$B$6&gt;0),'데이터 기본'!$B$1+SUM('데이터 기본'!$G$5:$G6)/$B$6&lt;=$F7-30)</formula>
    </cfRule>
    <cfRule type="expression" priority="9" dxfId="0">
      <formula>AND(ISNUMBER($B$6),$B$6&gt;0)</formula>
    </cfRule>
  </conditionalFormatting>
  <conditionalFormatting sqref="G8:AK8">
    <cfRule type="expression" priority="10" dxfId="0">
      <formula>AND(AND(ISNUMBER($B$8),$B$8&gt;0),G8&lt;=0)</formula>
    </cfRule>
  </conditionalFormatting>
  <conditionalFormatting sqref="F8">
    <cfRule type="expression" priority="11" dxfId="1" stopIfTrue="1">
      <formula>AND(AND(ISNUMBER($B$8),$B$8&gt;0),'데이터 기본'!$B$1+SUM('데이터 기본'!$G$7:$G7)/$B$8&lt;=$F8-30)</formula>
    </cfRule>
    <cfRule type="expression" priority="12" dxfId="0">
      <formula>AND(ISNUMBER($B$8),$B$8&gt;0)</formula>
    </cfRule>
  </conditionalFormatting>
  <conditionalFormatting sqref="G9:AK9">
    <cfRule type="expression" priority="13" dxfId="0">
      <formula>AND(AND(ISNUMBER($B$9),$B$9&gt;0),G9&lt;=0)</formula>
    </cfRule>
  </conditionalFormatting>
  <conditionalFormatting sqref="F9">
    <cfRule type="expression" priority="14" dxfId="1" stopIfTrue="1">
      <formula>AND(AND(ISNUMBER($B$9),$B$9&gt;0),'데이터 기본'!$B$1+SUM('데이터 기본'!$G$8:$G8)/$B$9&lt;=$F9-30)</formula>
    </cfRule>
    <cfRule type="expression" priority="15" dxfId="0">
      <formula>AND(ISNUMBER($B$9),$B$9&gt;0)</formula>
    </cfRule>
  </conditionalFormatting>
  <conditionalFormatting sqref="G10:AK10">
    <cfRule type="expression" priority="16" dxfId="0">
      <formula>AND(AND(ISNUMBER($B$9),$B$9&gt;0),G10&lt;=0)</formula>
    </cfRule>
  </conditionalFormatting>
  <conditionalFormatting sqref="F10">
    <cfRule type="expression" priority="17" dxfId="1" stopIfTrue="1">
      <formula>AND(AND(ISNUMBER($B$9),$B$9&gt;0),'데이터 기본'!$B$1+SUM('데이터 기본'!$G$8:$G9)/$B$9&lt;=$F10-30)</formula>
    </cfRule>
    <cfRule type="expression" priority="18" dxfId="0">
      <formula>AND(ISNUMBER($B$9),$B$9&gt;0)</formula>
    </cfRule>
  </conditionalFormatting>
  <conditionalFormatting sqref="G11:AK11">
    <cfRule type="expression" priority="19" dxfId="0">
      <formula>AND(AND(ISNUMBER($B$9),$B$9&gt;0),G11&lt;=0)</formula>
    </cfRule>
  </conditionalFormatting>
  <conditionalFormatting sqref="F11">
    <cfRule type="expression" priority="20" dxfId="1" stopIfTrue="1">
      <formula>AND(AND(ISNUMBER($B$9),$B$9&gt;0),'데이터 기본'!$B$1+SUM('데이터 기본'!$G$8:$G10)/$B$9&lt;=$F11-30)</formula>
    </cfRule>
    <cfRule type="expression" priority="21" dxfId="0">
      <formula>AND(ISNUMBER($B$9),$B$9&gt;0)</formula>
    </cfRule>
  </conditionalFormatting>
  <conditionalFormatting sqref="G12:AK12">
    <cfRule type="expression" priority="22" dxfId="0">
      <formula>AND(AND(ISNUMBER($B$9),$B$9&gt;0),G12&lt;=0)</formula>
    </cfRule>
  </conditionalFormatting>
  <conditionalFormatting sqref="F12">
    <cfRule type="expression" priority="23" dxfId="1" stopIfTrue="1">
      <formula>AND(AND(ISNUMBER($B$9),$B$9&gt;0),'데이터 기본'!$B$1+SUM('데이터 기본'!$G$8:$G11)/$B$9&lt;=$F12-30)</formula>
    </cfRule>
    <cfRule type="expression" priority="24" dxfId="0">
      <formula>AND(ISNUMBER($B$9),$B$9&gt;0)</formula>
    </cfRule>
  </conditionalFormatting>
  <conditionalFormatting sqref="G13:AK13">
    <cfRule type="expression" priority="25" dxfId="0">
      <formula>AND(AND(ISNUMBER($B$13),$B$13&gt;0),G13&lt;=0)</formula>
    </cfRule>
  </conditionalFormatting>
  <conditionalFormatting sqref="F13">
    <cfRule type="expression" priority="26" dxfId="1" stopIfTrue="1">
      <formula>AND(AND(ISNUMBER($B$13),$B$13&gt;0),'데이터 기본'!$B$1+SUM('데이터 기본'!$G$12:$G12)/$B$13&lt;=$F13-30)</formula>
    </cfRule>
    <cfRule type="expression" priority="27" dxfId="0">
      <formula>AND(ISNUMBER($B$13),$B$13&gt;0)</formula>
    </cfRule>
  </conditionalFormatting>
  <conditionalFormatting sqref="G14:AK14">
    <cfRule type="expression" priority="28" dxfId="0">
      <formula>AND(AND(ISNUMBER($B$13),$B$13&gt;0),G14&lt;=0)</formula>
    </cfRule>
  </conditionalFormatting>
  <conditionalFormatting sqref="F14">
    <cfRule type="expression" priority="29" dxfId="1" stopIfTrue="1">
      <formula>AND(AND(ISNUMBER($B$13),$B$13&gt;0),'데이터 기본'!$B$1+SUM('데이터 기본'!$G$12:$G13)/$B$13&lt;=$F14-30)</formula>
    </cfRule>
    <cfRule type="expression" priority="30" dxfId="0">
      <formula>AND(ISNUMBER($B$13),$B$13&gt;0)</formula>
    </cfRule>
  </conditionalFormatting>
  <conditionalFormatting sqref="G15:AK15">
    <cfRule type="expression" priority="31" dxfId="0">
      <formula>AND(AND(ISNUMBER($B$13),$B$13&gt;0),G15&lt;=0)</formula>
    </cfRule>
  </conditionalFormatting>
  <conditionalFormatting sqref="F15">
    <cfRule type="expression" priority="32" dxfId="1" stopIfTrue="1">
      <formula>AND(AND(ISNUMBER($B$13),$B$13&gt;0),'데이터 기본'!$B$1+SUM('데이터 기본'!$G$12:$G14)/$B$13&lt;=$F15-30)</formula>
    </cfRule>
    <cfRule type="expression" priority="33" dxfId="0">
      <formula>AND(ISNUMBER($B$13),$B$13&gt;0)</formula>
    </cfRule>
  </conditionalFormatting>
  <conditionalFormatting sqref="G16:AK16">
    <cfRule type="expression" priority="34" dxfId="0">
      <formula>AND(AND(ISNUMBER($B$13),$B$13&gt;0),G16&lt;=0)</formula>
    </cfRule>
  </conditionalFormatting>
  <conditionalFormatting sqref="F16">
    <cfRule type="expression" priority="35" dxfId="1" stopIfTrue="1">
      <formula>AND(AND(ISNUMBER($B$13),$B$13&gt;0),'데이터 기본'!$B$1+SUM('데이터 기본'!$G$12:$G15)/$B$13&lt;=$F16-30)</formula>
    </cfRule>
    <cfRule type="expression" priority="36" dxfId="0">
      <formula>AND(ISNUMBER($B$13),$B$13&gt;0)</formula>
    </cfRule>
  </conditionalFormatting>
  <conditionalFormatting sqref="G17:AK17">
    <cfRule type="expression" priority="37" dxfId="0">
      <formula>AND(AND(ISNUMBER($B$17),$B$17&gt;0),G17&lt;=0)</formula>
    </cfRule>
  </conditionalFormatting>
  <conditionalFormatting sqref="F17">
    <cfRule type="expression" priority="38" dxfId="1" stopIfTrue="1">
      <formula>AND(AND(ISNUMBER($B$17),$B$17&gt;0),'데이터 기본'!$B$1+SUM('데이터 기본'!$G$16:$G16)/$B$17&lt;=$F17-30)</formula>
    </cfRule>
    <cfRule type="expression" priority="39" dxfId="0">
      <formula>AND(ISNUMBER($B$17),$B$17&gt;0)</formula>
    </cfRule>
  </conditionalFormatting>
  <conditionalFormatting sqref="G18:AK18">
    <cfRule type="expression" priority="40" dxfId="0">
      <formula>AND(AND(ISNUMBER($B$17),$B$17&gt;0),G18&lt;=0)</formula>
    </cfRule>
  </conditionalFormatting>
  <conditionalFormatting sqref="F18">
    <cfRule type="expression" priority="41" dxfId="1" stopIfTrue="1">
      <formula>AND(AND(ISNUMBER($B$17),$B$17&gt;0),'데이터 기본'!$B$1+SUM('데이터 기본'!$G$16:$G17)/$B$17&lt;=$F18-30)</formula>
    </cfRule>
    <cfRule type="expression" priority="42" dxfId="0">
      <formula>AND(ISNUMBER($B$17),$B$17&gt;0)</formula>
    </cfRule>
  </conditionalFormatting>
  <conditionalFormatting sqref="G19:AK19">
    <cfRule type="expression" priority="43" dxfId="0">
      <formula>AND(AND(ISNUMBER($B$19),$B$19&gt;0),G19&lt;=0)</formula>
    </cfRule>
  </conditionalFormatting>
  <conditionalFormatting sqref="F19">
    <cfRule type="expression" priority="44" dxfId="1" stopIfTrue="1">
      <formula>AND(AND(ISNUMBER($B$19),$B$19&gt;0),'데이터 기본'!$B$1+SUM('데이터 기본'!$G$18:$G18)/$B$19&lt;=$F19-30)</formula>
    </cfRule>
    <cfRule type="expression" priority="45" dxfId="0">
      <formula>AND(ISNUMBER($B$19),$B$19&gt;0)</formula>
    </cfRule>
  </conditionalFormatting>
  <conditionalFormatting sqref="G20:AK20">
    <cfRule type="expression" priority="46" dxfId="0">
      <formula>AND(AND(ISNUMBER($B$19),$B$19&gt;0),G20&lt;=0)</formula>
    </cfRule>
  </conditionalFormatting>
  <conditionalFormatting sqref="F20">
    <cfRule type="expression" priority="47" dxfId="1" stopIfTrue="1">
      <formula>AND(AND(ISNUMBER($B$19),$B$19&gt;0),'데이터 기본'!$B$1+SUM('데이터 기본'!$G$18:$G19)/$B$19&lt;=$F20-30)</formula>
    </cfRule>
    <cfRule type="expression" priority="48" dxfId="0">
      <formula>AND(ISNUMBER($B$19),$B$19&gt;0)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29"/>
  <sheetViews>
    <sheetView workbookViewId="0">
      <selection activeCell="H25" sqref="H25"/>
    </sheetView>
  </sheetViews>
  <sheetFormatPr baseColWidth="8" defaultRowHeight="16.5"/>
  <sheetData>
    <row r="2">
      <c r="B2" s="0" t="inlineStr">
        <is>
          <t>소진 아이디어</t>
        </is>
      </c>
    </row>
    <row r="4">
      <c r="B4" s="0" t="inlineStr">
        <is>
          <t>온,오프라인 판매 방안 아이디어</t>
        </is>
      </c>
    </row>
    <row r="5">
      <c r="B5" s="27" t="n"/>
    </row>
    <row r="6">
      <c r="B6" s="27" t="inlineStr">
        <is>
          <t>1. 임박재고</t>
        </is>
      </c>
    </row>
    <row r="7">
      <c r="B7" s="27" t="inlineStr">
        <is>
          <t>자사몰 프로모션 및 공동구매로 판매 촉진</t>
        </is>
      </c>
    </row>
    <row r="8">
      <c r="B8" s="27" t="inlineStr">
        <is>
          <t>필요 시 리테일 거래처에도 임박재고 전용 공급가 또는</t>
        </is>
      </c>
    </row>
    <row r="9">
      <c r="B9" s="27" t="inlineStr">
        <is>
          <t>묶음 프로모션 제안하여 판매 채널 확대</t>
        </is>
      </c>
    </row>
    <row r="10">
      <c r="B10" s="27" t="n"/>
    </row>
    <row r="11">
      <c r="B11" s="27" t="inlineStr">
        <is>
          <t>2. 월 평균 수량 상승안</t>
        </is>
      </c>
    </row>
    <row r="12">
      <c r="B12" s="27" t="inlineStr">
        <is>
          <t>(1) 묶음 옵션 판매 - 현재 월 평균 출고 수량이 떨어지는 품목들 중</t>
        </is>
      </c>
    </row>
    <row r="13">
      <c r="B13" s="27" t="inlineStr">
        <is>
          <t>소용량 제품(밀믹서 99, 디너 156)은 비교적 판매량이 높은 대용량 제품에 옵션으로 패키지 판매</t>
        </is>
      </c>
    </row>
    <row r="14">
      <c r="B14" s="27" t="inlineStr">
        <is>
          <t>(현재 터키156 적용중)</t>
        </is>
      </c>
    </row>
    <row r="16">
      <c r="B16" s="0" t="inlineStr">
        <is>
          <t>10개 미만 판매 제품 50개 정도 판매 중 (2배 이상)</t>
        </is>
      </c>
    </row>
    <row r="17">
      <c r="B17" s="0" t="inlineStr">
        <is>
          <t>(예. 밀믹서993 -&gt; 226g 옵션으로 추가/2262 -&gt; 510g 옵션으로 추가)</t>
        </is>
      </c>
    </row>
    <row r="18">
      <c r="B18" s="27" t="n"/>
    </row>
    <row r="19">
      <c r="B19" s="27" t="inlineStr">
        <is>
          <t>3. B2B 발주 관리 프로그램 –</t>
        </is>
      </c>
    </row>
    <row r="20">
      <c r="B20" s="27" t="inlineStr">
        <is>
          <t>(1) 장기 미발주 업체 혹은 기존보다 매출이 떨어지는 업체를 대상으로</t>
        </is>
      </c>
    </row>
    <row r="21">
      <c r="B21" s="27" t="inlineStr">
        <is>
          <t>발주 장려금 프로그램 등을 운영, 발주 유도 및 발주 금액 상향을 목표로 함</t>
        </is>
      </c>
    </row>
    <row r="23">
      <c r="B23" s="0" t="inlineStr">
        <is>
          <t>(2) B2B 판매 지원 - 비인기 품목들 위주로 발주 시 샘플 제공 등의 혜택을 제공하여 발주를 유도</t>
        </is>
      </c>
    </row>
    <row r="24">
      <c r="B24" s="27" t="n"/>
    </row>
    <row r="25">
      <c r="B25" s="27" t="inlineStr">
        <is>
          <t>4. 스몰바이트 박스 단위로, 할인율 40-42% 진행,</t>
        </is>
      </c>
    </row>
    <row r="26">
      <c r="B26" s="27" t="inlineStr">
        <is>
          <t>42% 198 박스 1.5kg 19만원 / 198 덕 1.5kg 19.9만</t>
        </is>
      </c>
    </row>
    <row r="27">
      <c r="B27" s="27" t="inlineStr">
        <is>
          <t>40% 567 박스 2.2kg 23.5만 / 539 박스 2.1kg 26.4만</t>
        </is>
      </c>
    </row>
    <row r="28">
      <c r="B28" s="27" t="n"/>
    </row>
    <row r="29">
      <c r="B29" s="27" t="inlineStr">
        <is>
          <t>5. 28g 첫 구매 [가장 많음]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DSJeon</dc:creator>
  <dcterms:created xmlns:dcterms="http://purl.org/dc/terms/" xmlns:xsi="http://www.w3.org/2001/XMLSchema-instance" xsi:type="dcterms:W3CDTF">2026-10-07T06:31:31Z</dcterms:created>
  <dcterms:modified xmlns:dcterms="http://purl.org/dc/terms/" xmlns:xsi="http://www.w3.org/2001/XMLSchema-instance" xsi:type="dcterms:W3CDTF">2026-10-08T03:18:41Z</dcterms:modified>
  <cp:lastModifiedBy>DSJeon</cp:lastModifiedBy>
</cp:coreProperties>
</file>